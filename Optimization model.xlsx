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76bec24d2abaebd/Documents/Term 1/MAS/New folder/"/>
    </mc:Choice>
  </mc:AlternateContent>
  <xr:revisionPtr revIDLastSave="10" documentId="8_{AFB2173C-D719-470A-9761-06764C5A6B26}" xr6:coauthVersionLast="47" xr6:coauthVersionMax="47" xr10:uidLastSave="{0225D471-7CC2-4970-9358-44E1CB85ADD8}"/>
  <bookViews>
    <workbookView xWindow="5760" yWindow="3720" windowWidth="17280" windowHeight="9960" xr2:uid="{00000000-000D-0000-FFFF-FFFF00000000}"/>
  </bookViews>
  <sheets>
    <sheet name="Sheet1" sheetId="1" r:id="rId1"/>
    <sheet name="Sheet2" sheetId="2" r:id="rId2"/>
  </sheets>
  <definedNames>
    <definedName name="OpenSolver_ChosenSolver" localSheetId="0" hidden="1">CBC</definedName>
    <definedName name="OpenSolver_DualsNewSheet" localSheetId="0" hidden="1">0</definedName>
    <definedName name="OpenSolver_LinearityCheck" localSheetId="0" hidden="1">1</definedName>
    <definedName name="OpenSolver_UpdateSensitivity" localSheetId="0" hidden="1">1</definedName>
    <definedName name="solver_adj" localSheetId="0" hidden="1">Sheet1!$I$5:$I$346,Sheet1!$I$351:$I$464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Sheet1!$I$5:$I$346</definedName>
    <definedName name="solver_lhs2" localSheetId="0" hidden="1">Sheet1!$I$5:$I$346</definedName>
    <definedName name="solver_lhs3" localSheetId="0" hidden="1">Sheet1!$F$351:$F$464</definedName>
    <definedName name="solver_lhs4" localSheetId="0" hidden="1">Sheet1!$F$351:$F$464</definedName>
    <definedName name="solver_lhs5" localSheetId="0" hidden="1">Sheet2!$F$3:$F$116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Sheet1!$P$4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4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hs1" localSheetId="0" hidden="1">Sheet1!$F$5:$F$346</definedName>
    <definedName name="solver_rhs2" localSheetId="0" hidden="1">integer</definedName>
    <definedName name="solver_rhs3" localSheetId="0" hidden="1">Sheet1!$G$351:$G$464</definedName>
    <definedName name="solver_rhs4" localSheetId="0" hidden="1">Sheet1!$J$351:$J$464</definedName>
    <definedName name="solver_rhs5" localSheetId="0" hidden="1">Sheet2!$G$3:$G$116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6" i="2" l="1"/>
  <c r="F116" i="2"/>
  <c r="E116" i="2"/>
  <c r="D116" i="2"/>
  <c r="C116" i="2"/>
  <c r="G115" i="2"/>
  <c r="F115" i="2"/>
  <c r="E115" i="2"/>
  <c r="D115" i="2"/>
  <c r="C115" i="2"/>
  <c r="G114" i="2"/>
  <c r="F114" i="2"/>
  <c r="E114" i="2"/>
  <c r="D114" i="2"/>
  <c r="C114" i="2"/>
  <c r="G113" i="2"/>
  <c r="F113" i="2"/>
  <c r="E113" i="2"/>
  <c r="D113" i="2"/>
  <c r="C113" i="2"/>
  <c r="G112" i="2"/>
  <c r="F112" i="2"/>
  <c r="E112" i="2"/>
  <c r="D112" i="2"/>
  <c r="C112" i="2"/>
  <c r="G111" i="2"/>
  <c r="F111" i="2"/>
  <c r="E111" i="2"/>
  <c r="D111" i="2"/>
  <c r="C111" i="2"/>
  <c r="G110" i="2"/>
  <c r="F110" i="2"/>
  <c r="E110" i="2"/>
  <c r="D110" i="2"/>
  <c r="C110" i="2"/>
  <c r="G109" i="2"/>
  <c r="F109" i="2"/>
  <c r="E109" i="2"/>
  <c r="D109" i="2"/>
  <c r="C109" i="2"/>
  <c r="G108" i="2"/>
  <c r="F108" i="2"/>
  <c r="E108" i="2"/>
  <c r="D108" i="2"/>
  <c r="C108" i="2"/>
  <c r="G107" i="2"/>
  <c r="F107" i="2"/>
  <c r="E107" i="2"/>
  <c r="D107" i="2"/>
  <c r="C107" i="2"/>
  <c r="G106" i="2"/>
  <c r="F106" i="2"/>
  <c r="E106" i="2"/>
  <c r="D106" i="2"/>
  <c r="C106" i="2"/>
  <c r="G105" i="2"/>
  <c r="F105" i="2"/>
  <c r="E105" i="2"/>
  <c r="D105" i="2"/>
  <c r="C105" i="2"/>
  <c r="G104" i="2"/>
  <c r="F104" i="2"/>
  <c r="E104" i="2"/>
  <c r="D104" i="2"/>
  <c r="C104" i="2"/>
  <c r="G103" i="2"/>
  <c r="F103" i="2"/>
  <c r="E103" i="2"/>
  <c r="D103" i="2"/>
  <c r="C103" i="2"/>
  <c r="G102" i="2"/>
  <c r="F102" i="2"/>
  <c r="E102" i="2"/>
  <c r="D102" i="2"/>
  <c r="C102" i="2"/>
  <c r="G101" i="2"/>
  <c r="F101" i="2"/>
  <c r="E101" i="2"/>
  <c r="D101" i="2"/>
  <c r="C101" i="2"/>
  <c r="G100" i="2"/>
  <c r="F100" i="2"/>
  <c r="E100" i="2"/>
  <c r="D100" i="2"/>
  <c r="C100" i="2"/>
  <c r="G99" i="2"/>
  <c r="F99" i="2"/>
  <c r="E99" i="2"/>
  <c r="D99" i="2"/>
  <c r="C99" i="2"/>
  <c r="G98" i="2"/>
  <c r="F98" i="2"/>
  <c r="E98" i="2"/>
  <c r="D98" i="2"/>
  <c r="C98" i="2"/>
  <c r="G97" i="2"/>
  <c r="F97" i="2"/>
  <c r="E97" i="2"/>
  <c r="D97" i="2"/>
  <c r="C97" i="2"/>
  <c r="G96" i="2"/>
  <c r="F96" i="2"/>
  <c r="E96" i="2"/>
  <c r="D96" i="2"/>
  <c r="C96" i="2"/>
  <c r="G95" i="2"/>
  <c r="F95" i="2"/>
  <c r="E95" i="2"/>
  <c r="D95" i="2"/>
  <c r="C95" i="2"/>
  <c r="G94" i="2"/>
  <c r="F94" i="2"/>
  <c r="E94" i="2"/>
  <c r="D94" i="2"/>
  <c r="C94" i="2"/>
  <c r="G93" i="2"/>
  <c r="F93" i="2"/>
  <c r="E93" i="2"/>
  <c r="D93" i="2"/>
  <c r="C93" i="2"/>
  <c r="G92" i="2"/>
  <c r="F92" i="2"/>
  <c r="E92" i="2"/>
  <c r="D92" i="2"/>
  <c r="C92" i="2"/>
  <c r="G91" i="2"/>
  <c r="F91" i="2"/>
  <c r="E91" i="2"/>
  <c r="D91" i="2"/>
  <c r="C91" i="2"/>
  <c r="G90" i="2"/>
  <c r="F90" i="2"/>
  <c r="E90" i="2"/>
  <c r="D90" i="2"/>
  <c r="C90" i="2"/>
  <c r="G89" i="2"/>
  <c r="F89" i="2"/>
  <c r="E89" i="2"/>
  <c r="D89" i="2"/>
  <c r="C89" i="2"/>
  <c r="G88" i="2"/>
  <c r="F88" i="2"/>
  <c r="E88" i="2"/>
  <c r="D88" i="2"/>
  <c r="C88" i="2"/>
  <c r="G87" i="2"/>
  <c r="F87" i="2"/>
  <c r="E87" i="2"/>
  <c r="D87" i="2"/>
  <c r="C87" i="2"/>
  <c r="G86" i="2"/>
  <c r="F86" i="2"/>
  <c r="E86" i="2"/>
  <c r="D86" i="2"/>
  <c r="C86" i="2"/>
  <c r="G85" i="2"/>
  <c r="F85" i="2"/>
  <c r="E85" i="2"/>
  <c r="D85" i="2"/>
  <c r="C85" i="2"/>
  <c r="G84" i="2"/>
  <c r="F84" i="2"/>
  <c r="E84" i="2"/>
  <c r="D84" i="2"/>
  <c r="C84" i="2"/>
  <c r="G83" i="2"/>
  <c r="F83" i="2"/>
  <c r="E83" i="2"/>
  <c r="D83" i="2"/>
  <c r="C83" i="2"/>
  <c r="G82" i="2"/>
  <c r="F82" i="2"/>
  <c r="E82" i="2"/>
  <c r="D82" i="2"/>
  <c r="C82" i="2"/>
  <c r="G81" i="2"/>
  <c r="F81" i="2"/>
  <c r="E81" i="2"/>
  <c r="D81" i="2"/>
  <c r="C81" i="2"/>
  <c r="G80" i="2"/>
  <c r="F80" i="2"/>
  <c r="E80" i="2"/>
  <c r="D80" i="2"/>
  <c r="C80" i="2"/>
  <c r="G79" i="2"/>
  <c r="F79" i="2"/>
  <c r="E79" i="2"/>
  <c r="D79" i="2"/>
  <c r="C79" i="2"/>
  <c r="G78" i="2"/>
  <c r="F78" i="2"/>
  <c r="E78" i="2"/>
  <c r="D78" i="2"/>
  <c r="C78" i="2"/>
  <c r="G77" i="2"/>
  <c r="F77" i="2"/>
  <c r="E77" i="2"/>
  <c r="D77" i="2"/>
  <c r="C77" i="2"/>
  <c r="G76" i="2"/>
  <c r="F76" i="2"/>
  <c r="E76" i="2"/>
  <c r="D76" i="2"/>
  <c r="C76" i="2"/>
  <c r="G75" i="2"/>
  <c r="F75" i="2"/>
  <c r="E75" i="2"/>
  <c r="D75" i="2"/>
  <c r="C75" i="2"/>
  <c r="G74" i="2"/>
  <c r="F74" i="2"/>
  <c r="E74" i="2"/>
  <c r="D74" i="2"/>
  <c r="C74" i="2"/>
  <c r="G73" i="2"/>
  <c r="F73" i="2"/>
  <c r="E73" i="2"/>
  <c r="D73" i="2"/>
  <c r="C73" i="2"/>
  <c r="G72" i="2"/>
  <c r="F72" i="2"/>
  <c r="E72" i="2"/>
  <c r="D72" i="2"/>
  <c r="C72" i="2"/>
  <c r="G71" i="2"/>
  <c r="F71" i="2"/>
  <c r="E71" i="2"/>
  <c r="D71" i="2"/>
  <c r="C71" i="2"/>
  <c r="G70" i="2"/>
  <c r="F70" i="2"/>
  <c r="E70" i="2"/>
  <c r="D70" i="2"/>
  <c r="C70" i="2"/>
  <c r="G69" i="2"/>
  <c r="F69" i="2"/>
  <c r="E69" i="2"/>
  <c r="D69" i="2"/>
  <c r="C69" i="2"/>
  <c r="G68" i="2"/>
  <c r="F68" i="2"/>
  <c r="E68" i="2"/>
  <c r="D68" i="2"/>
  <c r="C68" i="2"/>
  <c r="G67" i="2"/>
  <c r="F67" i="2"/>
  <c r="E67" i="2"/>
  <c r="D67" i="2"/>
  <c r="C67" i="2"/>
  <c r="G66" i="2"/>
  <c r="F66" i="2"/>
  <c r="E66" i="2"/>
  <c r="D66" i="2"/>
  <c r="C66" i="2"/>
  <c r="G65" i="2"/>
  <c r="F65" i="2"/>
  <c r="E65" i="2"/>
  <c r="D65" i="2"/>
  <c r="C65" i="2"/>
  <c r="G64" i="2"/>
  <c r="F64" i="2"/>
  <c r="E64" i="2"/>
  <c r="D64" i="2"/>
  <c r="C64" i="2"/>
  <c r="G63" i="2"/>
  <c r="F63" i="2"/>
  <c r="E63" i="2"/>
  <c r="D63" i="2"/>
  <c r="C63" i="2"/>
  <c r="G62" i="2"/>
  <c r="F62" i="2"/>
  <c r="E62" i="2"/>
  <c r="D62" i="2"/>
  <c r="C62" i="2"/>
  <c r="G61" i="2"/>
  <c r="F61" i="2"/>
  <c r="E61" i="2"/>
  <c r="D61" i="2"/>
  <c r="C61" i="2"/>
  <c r="G60" i="2"/>
  <c r="F60" i="2"/>
  <c r="E60" i="2"/>
  <c r="D60" i="2"/>
  <c r="C60" i="2"/>
  <c r="G59" i="2"/>
  <c r="F59" i="2"/>
  <c r="E59" i="2"/>
  <c r="D59" i="2"/>
  <c r="C59" i="2"/>
  <c r="G58" i="2"/>
  <c r="F58" i="2"/>
  <c r="E58" i="2"/>
  <c r="D58" i="2"/>
  <c r="C58" i="2"/>
  <c r="G57" i="2"/>
  <c r="F57" i="2"/>
  <c r="E57" i="2"/>
  <c r="D57" i="2"/>
  <c r="C57" i="2"/>
  <c r="G56" i="2"/>
  <c r="F56" i="2"/>
  <c r="E56" i="2"/>
  <c r="D56" i="2"/>
  <c r="C56" i="2"/>
  <c r="G55" i="2"/>
  <c r="F55" i="2"/>
  <c r="E55" i="2"/>
  <c r="D55" i="2"/>
  <c r="C55" i="2"/>
  <c r="G54" i="2"/>
  <c r="F54" i="2"/>
  <c r="E54" i="2"/>
  <c r="D54" i="2"/>
  <c r="C54" i="2"/>
  <c r="G53" i="2"/>
  <c r="F53" i="2"/>
  <c r="E53" i="2"/>
  <c r="D53" i="2"/>
  <c r="C53" i="2"/>
  <c r="G52" i="2"/>
  <c r="F52" i="2"/>
  <c r="E52" i="2"/>
  <c r="D52" i="2"/>
  <c r="C52" i="2"/>
  <c r="G51" i="2"/>
  <c r="F51" i="2"/>
  <c r="E51" i="2"/>
  <c r="D51" i="2"/>
  <c r="C51" i="2"/>
  <c r="G50" i="2"/>
  <c r="F50" i="2"/>
  <c r="E50" i="2"/>
  <c r="D50" i="2"/>
  <c r="C50" i="2"/>
  <c r="G49" i="2"/>
  <c r="F49" i="2"/>
  <c r="E49" i="2"/>
  <c r="D49" i="2"/>
  <c r="C49" i="2"/>
  <c r="G48" i="2"/>
  <c r="F48" i="2"/>
  <c r="E48" i="2"/>
  <c r="D48" i="2"/>
  <c r="C48" i="2"/>
  <c r="G47" i="2"/>
  <c r="F47" i="2"/>
  <c r="E47" i="2"/>
  <c r="D47" i="2"/>
  <c r="C47" i="2"/>
  <c r="G46" i="2"/>
  <c r="F46" i="2"/>
  <c r="E46" i="2"/>
  <c r="D46" i="2"/>
  <c r="C46" i="2"/>
  <c r="G45" i="2"/>
  <c r="F45" i="2"/>
  <c r="E45" i="2"/>
  <c r="D45" i="2"/>
  <c r="C45" i="2"/>
  <c r="G44" i="2"/>
  <c r="F44" i="2"/>
  <c r="E44" i="2"/>
  <c r="D44" i="2"/>
  <c r="C44" i="2"/>
  <c r="G43" i="2"/>
  <c r="F43" i="2"/>
  <c r="E43" i="2"/>
  <c r="D43" i="2"/>
  <c r="C43" i="2"/>
  <c r="G42" i="2"/>
  <c r="F42" i="2"/>
  <c r="E42" i="2"/>
  <c r="D42" i="2"/>
  <c r="C42" i="2"/>
  <c r="G41" i="2"/>
  <c r="F41" i="2"/>
  <c r="E41" i="2"/>
  <c r="D41" i="2"/>
  <c r="C41" i="2"/>
  <c r="G40" i="2"/>
  <c r="F40" i="2"/>
  <c r="E40" i="2"/>
  <c r="D40" i="2"/>
  <c r="C40" i="2"/>
  <c r="G39" i="2"/>
  <c r="F39" i="2"/>
  <c r="E39" i="2"/>
  <c r="D39" i="2"/>
  <c r="C39" i="2"/>
  <c r="G38" i="2"/>
  <c r="F38" i="2"/>
  <c r="E38" i="2"/>
  <c r="D38" i="2"/>
  <c r="C38" i="2"/>
  <c r="G37" i="2"/>
  <c r="F37" i="2"/>
  <c r="E37" i="2"/>
  <c r="D37" i="2"/>
  <c r="C37" i="2"/>
  <c r="G36" i="2"/>
  <c r="F36" i="2"/>
  <c r="E36" i="2"/>
  <c r="D36" i="2"/>
  <c r="C36" i="2"/>
  <c r="G35" i="2"/>
  <c r="F35" i="2"/>
  <c r="E35" i="2"/>
  <c r="D35" i="2"/>
  <c r="C35" i="2"/>
  <c r="G34" i="2"/>
  <c r="F34" i="2"/>
  <c r="E34" i="2"/>
  <c r="D34" i="2"/>
  <c r="C34" i="2"/>
  <c r="G33" i="2"/>
  <c r="F33" i="2"/>
  <c r="E33" i="2"/>
  <c r="D33" i="2"/>
  <c r="C33" i="2"/>
  <c r="G32" i="2"/>
  <c r="F32" i="2"/>
  <c r="E32" i="2"/>
  <c r="D32" i="2"/>
  <c r="C32" i="2"/>
  <c r="G31" i="2"/>
  <c r="F31" i="2"/>
  <c r="E31" i="2"/>
  <c r="D31" i="2"/>
  <c r="C31" i="2"/>
  <c r="G30" i="2"/>
  <c r="F30" i="2"/>
  <c r="E30" i="2"/>
  <c r="D30" i="2"/>
  <c r="C30" i="2"/>
  <c r="G29" i="2"/>
  <c r="F29" i="2"/>
  <c r="E29" i="2"/>
  <c r="D29" i="2"/>
  <c r="C29" i="2"/>
  <c r="G28" i="2"/>
  <c r="F28" i="2"/>
  <c r="E28" i="2"/>
  <c r="D28" i="2"/>
  <c r="C28" i="2"/>
  <c r="G27" i="2"/>
  <c r="F27" i="2"/>
  <c r="E27" i="2"/>
  <c r="D27" i="2"/>
  <c r="C27" i="2"/>
  <c r="G26" i="2"/>
  <c r="F26" i="2"/>
  <c r="E26" i="2"/>
  <c r="D26" i="2"/>
  <c r="C26" i="2"/>
  <c r="G25" i="2"/>
  <c r="F25" i="2"/>
  <c r="E25" i="2"/>
  <c r="D25" i="2"/>
  <c r="C25" i="2"/>
  <c r="G24" i="2"/>
  <c r="F24" i="2"/>
  <c r="E24" i="2"/>
  <c r="D24" i="2"/>
  <c r="C24" i="2"/>
  <c r="G23" i="2"/>
  <c r="F23" i="2"/>
  <c r="E23" i="2"/>
  <c r="D23" i="2"/>
  <c r="C23" i="2"/>
  <c r="G22" i="2"/>
  <c r="F22" i="2"/>
  <c r="E22" i="2"/>
  <c r="D22" i="2"/>
  <c r="C22" i="2"/>
  <c r="G21" i="2"/>
  <c r="F21" i="2"/>
  <c r="E21" i="2"/>
  <c r="D21" i="2"/>
  <c r="C21" i="2"/>
  <c r="G20" i="2"/>
  <c r="F20" i="2"/>
  <c r="E20" i="2"/>
  <c r="D20" i="2"/>
  <c r="C20" i="2"/>
  <c r="G19" i="2"/>
  <c r="F19" i="2"/>
  <c r="E19" i="2"/>
  <c r="D19" i="2"/>
  <c r="C19" i="2"/>
  <c r="G18" i="2"/>
  <c r="F18" i="2"/>
  <c r="E18" i="2"/>
  <c r="D18" i="2"/>
  <c r="C18" i="2"/>
  <c r="G17" i="2"/>
  <c r="F17" i="2"/>
  <c r="E17" i="2"/>
  <c r="D17" i="2"/>
  <c r="C17" i="2"/>
  <c r="G16" i="2"/>
  <c r="F16" i="2"/>
  <c r="E16" i="2"/>
  <c r="D16" i="2"/>
  <c r="C16" i="2"/>
  <c r="G15" i="2"/>
  <c r="F15" i="2"/>
  <c r="E15" i="2"/>
  <c r="D15" i="2"/>
  <c r="C15" i="2"/>
  <c r="G14" i="2"/>
  <c r="F14" i="2"/>
  <c r="E14" i="2"/>
  <c r="D14" i="2"/>
  <c r="C14" i="2"/>
  <c r="G13" i="2"/>
  <c r="F13" i="2"/>
  <c r="E13" i="2"/>
  <c r="D13" i="2"/>
  <c r="C13" i="2"/>
  <c r="G12" i="2"/>
  <c r="F12" i="2"/>
  <c r="E12" i="2"/>
  <c r="D12" i="2"/>
  <c r="C12" i="2"/>
  <c r="G11" i="2"/>
  <c r="F11" i="2"/>
  <c r="E11" i="2"/>
  <c r="D11" i="2"/>
  <c r="C11" i="2"/>
  <c r="G10" i="2"/>
  <c r="F10" i="2"/>
  <c r="E10" i="2"/>
  <c r="D10" i="2"/>
  <c r="C10" i="2"/>
  <c r="G9" i="2"/>
  <c r="F9" i="2"/>
  <c r="E9" i="2"/>
  <c r="D9" i="2"/>
  <c r="C9" i="2"/>
  <c r="G8" i="2"/>
  <c r="F8" i="2"/>
  <c r="E8" i="2"/>
  <c r="D8" i="2"/>
  <c r="C8" i="2"/>
  <c r="G7" i="2"/>
  <c r="F7" i="2"/>
  <c r="E7" i="2"/>
  <c r="D7" i="2"/>
  <c r="C7" i="2"/>
  <c r="G6" i="2"/>
  <c r="F6" i="2"/>
  <c r="E6" i="2"/>
  <c r="D6" i="2"/>
  <c r="C6" i="2"/>
  <c r="G5" i="2"/>
  <c r="F5" i="2"/>
  <c r="E5" i="2"/>
  <c r="D5" i="2"/>
  <c r="C5" i="2"/>
  <c r="G4" i="2"/>
  <c r="F4" i="2"/>
  <c r="E4" i="2"/>
  <c r="D4" i="2"/>
  <c r="C4" i="2"/>
  <c r="G3" i="2"/>
  <c r="F3" i="2"/>
  <c r="E3" i="2"/>
  <c r="D3" i="2"/>
  <c r="C3" i="2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5" i="1"/>
  <c r="M339" i="1"/>
  <c r="P2" i="1"/>
  <c r="J351" i="1"/>
  <c r="J352" i="1"/>
  <c r="J354" i="1"/>
  <c r="J353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F464" i="1"/>
  <c r="E464" i="1"/>
  <c r="D464" i="1"/>
  <c r="C464" i="1"/>
  <c r="F463" i="1"/>
  <c r="E463" i="1"/>
  <c r="D463" i="1"/>
  <c r="C463" i="1"/>
  <c r="F462" i="1"/>
  <c r="E462" i="1"/>
  <c r="D462" i="1"/>
  <c r="C462" i="1"/>
  <c r="F461" i="1"/>
  <c r="E461" i="1"/>
  <c r="D461" i="1"/>
  <c r="C461" i="1"/>
  <c r="F460" i="1"/>
  <c r="E460" i="1"/>
  <c r="D460" i="1"/>
  <c r="C460" i="1"/>
  <c r="F459" i="1"/>
  <c r="E459" i="1"/>
  <c r="D459" i="1"/>
  <c r="C459" i="1"/>
  <c r="F458" i="1"/>
  <c r="E458" i="1"/>
  <c r="D458" i="1"/>
  <c r="C458" i="1"/>
  <c r="F457" i="1"/>
  <c r="E457" i="1"/>
  <c r="D457" i="1"/>
  <c r="C457" i="1"/>
  <c r="F456" i="1"/>
  <c r="E456" i="1"/>
  <c r="D456" i="1"/>
  <c r="C456" i="1"/>
  <c r="F455" i="1"/>
  <c r="E455" i="1"/>
  <c r="D455" i="1"/>
  <c r="C455" i="1"/>
  <c r="F454" i="1"/>
  <c r="E454" i="1"/>
  <c r="D454" i="1"/>
  <c r="C454" i="1"/>
  <c r="F453" i="1"/>
  <c r="E453" i="1"/>
  <c r="D453" i="1"/>
  <c r="C453" i="1"/>
  <c r="F452" i="1"/>
  <c r="E452" i="1"/>
  <c r="D452" i="1"/>
  <c r="C452" i="1"/>
  <c r="F451" i="1"/>
  <c r="E451" i="1"/>
  <c r="D451" i="1"/>
  <c r="C451" i="1"/>
  <c r="F450" i="1"/>
  <c r="E450" i="1"/>
  <c r="D450" i="1"/>
  <c r="C450" i="1"/>
  <c r="F449" i="1"/>
  <c r="E449" i="1"/>
  <c r="D449" i="1"/>
  <c r="C449" i="1"/>
  <c r="F448" i="1"/>
  <c r="E448" i="1"/>
  <c r="D448" i="1"/>
  <c r="C448" i="1"/>
  <c r="F447" i="1"/>
  <c r="E447" i="1"/>
  <c r="D447" i="1"/>
  <c r="C447" i="1"/>
  <c r="F446" i="1"/>
  <c r="E446" i="1"/>
  <c r="D446" i="1"/>
  <c r="C446" i="1"/>
  <c r="F445" i="1"/>
  <c r="E445" i="1"/>
  <c r="D445" i="1"/>
  <c r="C445" i="1"/>
  <c r="F444" i="1"/>
  <c r="E444" i="1"/>
  <c r="D444" i="1"/>
  <c r="C444" i="1"/>
  <c r="F443" i="1"/>
  <c r="E443" i="1"/>
  <c r="D443" i="1"/>
  <c r="C443" i="1"/>
  <c r="F442" i="1"/>
  <c r="E442" i="1"/>
  <c r="D442" i="1"/>
  <c r="C442" i="1"/>
  <c r="F441" i="1"/>
  <c r="E441" i="1"/>
  <c r="D441" i="1"/>
  <c r="C441" i="1"/>
  <c r="F440" i="1"/>
  <c r="E440" i="1"/>
  <c r="D440" i="1"/>
  <c r="C440" i="1"/>
  <c r="F439" i="1"/>
  <c r="E439" i="1"/>
  <c r="D439" i="1"/>
  <c r="C439" i="1"/>
  <c r="F438" i="1"/>
  <c r="E438" i="1"/>
  <c r="D438" i="1"/>
  <c r="C438" i="1"/>
  <c r="F437" i="1"/>
  <c r="E437" i="1"/>
  <c r="D437" i="1"/>
  <c r="C437" i="1"/>
  <c r="F436" i="1"/>
  <c r="E436" i="1"/>
  <c r="D436" i="1"/>
  <c r="C436" i="1"/>
  <c r="F435" i="1"/>
  <c r="E435" i="1"/>
  <c r="D435" i="1"/>
  <c r="C435" i="1"/>
  <c r="F434" i="1"/>
  <c r="E434" i="1"/>
  <c r="D434" i="1"/>
  <c r="C434" i="1"/>
  <c r="F433" i="1"/>
  <c r="E433" i="1"/>
  <c r="D433" i="1"/>
  <c r="C433" i="1"/>
  <c r="F432" i="1"/>
  <c r="E432" i="1"/>
  <c r="D432" i="1"/>
  <c r="C432" i="1"/>
  <c r="F431" i="1"/>
  <c r="E431" i="1"/>
  <c r="D431" i="1"/>
  <c r="C431" i="1"/>
  <c r="F430" i="1"/>
  <c r="E430" i="1"/>
  <c r="D430" i="1"/>
  <c r="C430" i="1"/>
  <c r="F429" i="1"/>
  <c r="E429" i="1"/>
  <c r="D429" i="1"/>
  <c r="C429" i="1"/>
  <c r="F428" i="1"/>
  <c r="E428" i="1"/>
  <c r="D428" i="1"/>
  <c r="C428" i="1"/>
  <c r="F427" i="1"/>
  <c r="E427" i="1"/>
  <c r="D427" i="1"/>
  <c r="C427" i="1"/>
  <c r="F426" i="1"/>
  <c r="E426" i="1"/>
  <c r="D426" i="1"/>
  <c r="C426" i="1"/>
  <c r="F425" i="1"/>
  <c r="E425" i="1"/>
  <c r="D425" i="1"/>
  <c r="C425" i="1"/>
  <c r="F424" i="1"/>
  <c r="E424" i="1"/>
  <c r="D424" i="1"/>
  <c r="C424" i="1"/>
  <c r="F423" i="1"/>
  <c r="E423" i="1"/>
  <c r="D423" i="1"/>
  <c r="C423" i="1"/>
  <c r="F422" i="1"/>
  <c r="E422" i="1"/>
  <c r="D422" i="1"/>
  <c r="C422" i="1"/>
  <c r="F421" i="1"/>
  <c r="E421" i="1"/>
  <c r="D421" i="1"/>
  <c r="C421" i="1"/>
  <c r="F420" i="1"/>
  <c r="E420" i="1"/>
  <c r="D420" i="1"/>
  <c r="C420" i="1"/>
  <c r="F419" i="1"/>
  <c r="E419" i="1"/>
  <c r="D419" i="1"/>
  <c r="C419" i="1"/>
  <c r="F418" i="1"/>
  <c r="E418" i="1"/>
  <c r="D418" i="1"/>
  <c r="C418" i="1"/>
  <c r="F417" i="1"/>
  <c r="E417" i="1"/>
  <c r="D417" i="1"/>
  <c r="C417" i="1"/>
  <c r="F416" i="1"/>
  <c r="E416" i="1"/>
  <c r="D416" i="1"/>
  <c r="C416" i="1"/>
  <c r="F415" i="1"/>
  <c r="E415" i="1"/>
  <c r="D415" i="1"/>
  <c r="C415" i="1"/>
  <c r="F414" i="1"/>
  <c r="E414" i="1"/>
  <c r="D414" i="1"/>
  <c r="C414" i="1"/>
  <c r="F413" i="1"/>
  <c r="E413" i="1"/>
  <c r="D413" i="1"/>
  <c r="C413" i="1"/>
  <c r="F412" i="1"/>
  <c r="E412" i="1"/>
  <c r="D412" i="1"/>
  <c r="C412" i="1"/>
  <c r="F411" i="1"/>
  <c r="E411" i="1"/>
  <c r="D411" i="1"/>
  <c r="C411" i="1"/>
  <c r="F410" i="1"/>
  <c r="E410" i="1"/>
  <c r="D410" i="1"/>
  <c r="C410" i="1"/>
  <c r="F409" i="1"/>
  <c r="E409" i="1"/>
  <c r="D409" i="1"/>
  <c r="C409" i="1"/>
  <c r="F408" i="1"/>
  <c r="E408" i="1"/>
  <c r="D408" i="1"/>
  <c r="C408" i="1"/>
  <c r="F407" i="1"/>
  <c r="E407" i="1"/>
  <c r="D407" i="1"/>
  <c r="C407" i="1"/>
  <c r="F406" i="1"/>
  <c r="E406" i="1"/>
  <c r="D406" i="1"/>
  <c r="C406" i="1"/>
  <c r="F405" i="1"/>
  <c r="E405" i="1"/>
  <c r="D405" i="1"/>
  <c r="C405" i="1"/>
  <c r="F404" i="1"/>
  <c r="E404" i="1"/>
  <c r="D404" i="1"/>
  <c r="C404" i="1"/>
  <c r="F403" i="1"/>
  <c r="E403" i="1"/>
  <c r="D403" i="1"/>
  <c r="C403" i="1"/>
  <c r="F402" i="1"/>
  <c r="E402" i="1"/>
  <c r="D402" i="1"/>
  <c r="C402" i="1"/>
  <c r="F401" i="1"/>
  <c r="E401" i="1"/>
  <c r="D401" i="1"/>
  <c r="C401" i="1"/>
  <c r="F400" i="1"/>
  <c r="E400" i="1"/>
  <c r="D400" i="1"/>
  <c r="C400" i="1"/>
  <c r="F399" i="1"/>
  <c r="E399" i="1"/>
  <c r="D399" i="1"/>
  <c r="C399" i="1"/>
  <c r="F398" i="1"/>
  <c r="E398" i="1"/>
  <c r="D398" i="1"/>
  <c r="C398" i="1"/>
  <c r="F397" i="1"/>
  <c r="E397" i="1"/>
  <c r="D397" i="1"/>
  <c r="C397" i="1"/>
  <c r="F396" i="1"/>
  <c r="E396" i="1"/>
  <c r="D396" i="1"/>
  <c r="C396" i="1"/>
  <c r="F395" i="1"/>
  <c r="E395" i="1"/>
  <c r="D395" i="1"/>
  <c r="C395" i="1"/>
  <c r="F394" i="1"/>
  <c r="E394" i="1"/>
  <c r="D394" i="1"/>
  <c r="C394" i="1"/>
  <c r="F393" i="1"/>
  <c r="E393" i="1"/>
  <c r="D393" i="1"/>
  <c r="C393" i="1"/>
  <c r="F392" i="1"/>
  <c r="E392" i="1"/>
  <c r="D392" i="1"/>
  <c r="C392" i="1"/>
  <c r="F391" i="1"/>
  <c r="E391" i="1"/>
  <c r="D391" i="1"/>
  <c r="C391" i="1"/>
  <c r="F390" i="1"/>
  <c r="E390" i="1"/>
  <c r="D390" i="1"/>
  <c r="C390" i="1"/>
  <c r="F389" i="1"/>
  <c r="E389" i="1"/>
  <c r="D389" i="1"/>
  <c r="C389" i="1"/>
  <c r="F388" i="1"/>
  <c r="E388" i="1"/>
  <c r="D388" i="1"/>
  <c r="C388" i="1"/>
  <c r="F387" i="1"/>
  <c r="E387" i="1"/>
  <c r="D387" i="1"/>
  <c r="C387" i="1"/>
  <c r="F386" i="1"/>
  <c r="E386" i="1"/>
  <c r="D386" i="1"/>
  <c r="C386" i="1"/>
  <c r="F385" i="1"/>
  <c r="E385" i="1"/>
  <c r="D385" i="1"/>
  <c r="C385" i="1"/>
  <c r="F384" i="1"/>
  <c r="E384" i="1"/>
  <c r="D384" i="1"/>
  <c r="C384" i="1"/>
  <c r="F383" i="1"/>
  <c r="E383" i="1"/>
  <c r="D383" i="1"/>
  <c r="C383" i="1"/>
  <c r="F382" i="1"/>
  <c r="E382" i="1"/>
  <c r="D382" i="1"/>
  <c r="C382" i="1"/>
  <c r="F381" i="1"/>
  <c r="E381" i="1"/>
  <c r="D381" i="1"/>
  <c r="C381" i="1"/>
  <c r="F380" i="1"/>
  <c r="E380" i="1"/>
  <c r="D380" i="1"/>
  <c r="C380" i="1"/>
  <c r="F379" i="1"/>
  <c r="E379" i="1"/>
  <c r="D379" i="1"/>
  <c r="C379" i="1"/>
  <c r="F378" i="1"/>
  <c r="E378" i="1"/>
  <c r="D378" i="1"/>
  <c r="C378" i="1"/>
  <c r="F377" i="1"/>
  <c r="E377" i="1"/>
  <c r="D377" i="1"/>
  <c r="C377" i="1"/>
  <c r="F376" i="1"/>
  <c r="E376" i="1"/>
  <c r="D376" i="1"/>
  <c r="C376" i="1"/>
  <c r="F375" i="1"/>
  <c r="E375" i="1"/>
  <c r="D375" i="1"/>
  <c r="C375" i="1"/>
  <c r="F374" i="1"/>
  <c r="E374" i="1"/>
  <c r="D374" i="1"/>
  <c r="C374" i="1"/>
  <c r="F373" i="1"/>
  <c r="E373" i="1"/>
  <c r="D373" i="1"/>
  <c r="C373" i="1"/>
  <c r="F372" i="1"/>
  <c r="E372" i="1"/>
  <c r="D372" i="1"/>
  <c r="C372" i="1"/>
  <c r="F371" i="1"/>
  <c r="E371" i="1"/>
  <c r="D371" i="1"/>
  <c r="C371" i="1"/>
  <c r="F370" i="1"/>
  <c r="E370" i="1"/>
  <c r="D370" i="1"/>
  <c r="C370" i="1"/>
  <c r="F369" i="1"/>
  <c r="E369" i="1"/>
  <c r="D369" i="1"/>
  <c r="C369" i="1"/>
  <c r="F368" i="1"/>
  <c r="E368" i="1"/>
  <c r="D368" i="1"/>
  <c r="C368" i="1"/>
  <c r="F367" i="1"/>
  <c r="E367" i="1"/>
  <c r="D367" i="1"/>
  <c r="C367" i="1"/>
  <c r="F366" i="1"/>
  <c r="E366" i="1"/>
  <c r="D366" i="1"/>
  <c r="C366" i="1"/>
  <c r="F365" i="1"/>
  <c r="E365" i="1"/>
  <c r="D365" i="1"/>
  <c r="C365" i="1"/>
  <c r="F364" i="1"/>
  <c r="E364" i="1"/>
  <c r="D364" i="1"/>
  <c r="C364" i="1"/>
  <c r="F363" i="1"/>
  <c r="E363" i="1"/>
  <c r="D363" i="1"/>
  <c r="C363" i="1"/>
  <c r="F362" i="1"/>
  <c r="E362" i="1"/>
  <c r="D362" i="1"/>
  <c r="C362" i="1"/>
  <c r="F361" i="1"/>
  <c r="E361" i="1"/>
  <c r="D361" i="1"/>
  <c r="C361" i="1"/>
  <c r="F360" i="1"/>
  <c r="E360" i="1"/>
  <c r="D360" i="1"/>
  <c r="C360" i="1"/>
  <c r="F359" i="1"/>
  <c r="E359" i="1"/>
  <c r="D359" i="1"/>
  <c r="C359" i="1"/>
  <c r="F358" i="1"/>
  <c r="E358" i="1"/>
  <c r="D358" i="1"/>
  <c r="C358" i="1"/>
  <c r="F357" i="1"/>
  <c r="E357" i="1"/>
  <c r="D357" i="1"/>
  <c r="C357" i="1"/>
  <c r="F356" i="1"/>
  <c r="E356" i="1"/>
  <c r="D356" i="1"/>
  <c r="C356" i="1"/>
  <c r="F355" i="1"/>
  <c r="E355" i="1"/>
  <c r="D355" i="1"/>
  <c r="C355" i="1"/>
  <c r="F354" i="1"/>
  <c r="E354" i="1"/>
  <c r="D354" i="1"/>
  <c r="C354" i="1"/>
  <c r="F353" i="1"/>
  <c r="E353" i="1"/>
  <c r="D353" i="1"/>
  <c r="C353" i="1"/>
  <c r="F352" i="1"/>
  <c r="E352" i="1"/>
  <c r="D352" i="1"/>
  <c r="C352" i="1"/>
  <c r="F351" i="1"/>
  <c r="E351" i="1"/>
  <c r="D351" i="1"/>
  <c r="C351" i="1"/>
  <c r="K346" i="1"/>
  <c r="M346" i="1" s="1"/>
  <c r="J346" i="1"/>
  <c r="K345" i="1"/>
  <c r="M345" i="1" s="1"/>
  <c r="J345" i="1"/>
  <c r="K344" i="1"/>
  <c r="M344" i="1" s="1"/>
  <c r="J344" i="1"/>
  <c r="G464" i="1" s="1"/>
  <c r="K343" i="1"/>
  <c r="M343" i="1" s="1"/>
  <c r="J343" i="1"/>
  <c r="K342" i="1"/>
  <c r="M342" i="1" s="1"/>
  <c r="J342" i="1"/>
  <c r="K341" i="1"/>
  <c r="M341" i="1" s="1"/>
  <c r="J341" i="1"/>
  <c r="G463" i="1" s="1"/>
  <c r="K340" i="1"/>
  <c r="M340" i="1" s="1"/>
  <c r="J340" i="1"/>
  <c r="K339" i="1"/>
  <c r="J339" i="1"/>
  <c r="K338" i="1"/>
  <c r="M338" i="1" s="1"/>
  <c r="J338" i="1"/>
  <c r="G462" i="1" s="1"/>
  <c r="K337" i="1"/>
  <c r="M337" i="1" s="1"/>
  <c r="J337" i="1"/>
  <c r="K336" i="1"/>
  <c r="M336" i="1" s="1"/>
  <c r="J336" i="1"/>
  <c r="K335" i="1"/>
  <c r="M335" i="1" s="1"/>
  <c r="J335" i="1"/>
  <c r="G461" i="1" s="1"/>
  <c r="K334" i="1"/>
  <c r="M334" i="1" s="1"/>
  <c r="J334" i="1"/>
  <c r="K333" i="1"/>
  <c r="M333" i="1" s="1"/>
  <c r="J333" i="1"/>
  <c r="K332" i="1"/>
  <c r="M332" i="1" s="1"/>
  <c r="J332" i="1"/>
  <c r="G460" i="1" s="1"/>
  <c r="K331" i="1"/>
  <c r="M331" i="1" s="1"/>
  <c r="J331" i="1"/>
  <c r="K330" i="1"/>
  <c r="M330" i="1" s="1"/>
  <c r="J330" i="1"/>
  <c r="K329" i="1"/>
  <c r="M329" i="1" s="1"/>
  <c r="J329" i="1"/>
  <c r="G459" i="1" s="1"/>
  <c r="K328" i="1"/>
  <c r="M328" i="1" s="1"/>
  <c r="J328" i="1"/>
  <c r="K327" i="1"/>
  <c r="M327" i="1" s="1"/>
  <c r="J327" i="1"/>
  <c r="K326" i="1"/>
  <c r="M326" i="1" s="1"/>
  <c r="J326" i="1"/>
  <c r="G458" i="1" s="1"/>
  <c r="K325" i="1"/>
  <c r="M325" i="1" s="1"/>
  <c r="J325" i="1"/>
  <c r="K324" i="1"/>
  <c r="M324" i="1" s="1"/>
  <c r="J324" i="1"/>
  <c r="K323" i="1"/>
  <c r="M323" i="1" s="1"/>
  <c r="J323" i="1"/>
  <c r="G457" i="1" s="1"/>
  <c r="K322" i="1"/>
  <c r="M322" i="1" s="1"/>
  <c r="J322" i="1"/>
  <c r="K321" i="1"/>
  <c r="M321" i="1" s="1"/>
  <c r="J321" i="1"/>
  <c r="K320" i="1"/>
  <c r="M320" i="1" s="1"/>
  <c r="J320" i="1"/>
  <c r="G456" i="1" s="1"/>
  <c r="K319" i="1"/>
  <c r="M319" i="1" s="1"/>
  <c r="J319" i="1"/>
  <c r="K318" i="1"/>
  <c r="M318" i="1" s="1"/>
  <c r="J318" i="1"/>
  <c r="K317" i="1"/>
  <c r="M317" i="1" s="1"/>
  <c r="J317" i="1"/>
  <c r="G455" i="1" s="1"/>
  <c r="K316" i="1"/>
  <c r="M316" i="1" s="1"/>
  <c r="J316" i="1"/>
  <c r="K315" i="1"/>
  <c r="M315" i="1" s="1"/>
  <c r="J315" i="1"/>
  <c r="K314" i="1"/>
  <c r="M314" i="1" s="1"/>
  <c r="J314" i="1"/>
  <c r="G454" i="1" s="1"/>
  <c r="K313" i="1"/>
  <c r="M313" i="1" s="1"/>
  <c r="J313" i="1"/>
  <c r="K312" i="1"/>
  <c r="M312" i="1" s="1"/>
  <c r="J312" i="1"/>
  <c r="K311" i="1"/>
  <c r="M311" i="1" s="1"/>
  <c r="J311" i="1"/>
  <c r="G453" i="1" s="1"/>
  <c r="K310" i="1"/>
  <c r="M310" i="1" s="1"/>
  <c r="J310" i="1"/>
  <c r="K309" i="1"/>
  <c r="M309" i="1" s="1"/>
  <c r="J309" i="1"/>
  <c r="K308" i="1"/>
  <c r="M308" i="1" s="1"/>
  <c r="J308" i="1"/>
  <c r="G452" i="1" s="1"/>
  <c r="K307" i="1"/>
  <c r="M307" i="1" s="1"/>
  <c r="J307" i="1"/>
  <c r="K306" i="1"/>
  <c r="M306" i="1" s="1"/>
  <c r="J306" i="1"/>
  <c r="K305" i="1"/>
  <c r="M305" i="1" s="1"/>
  <c r="J305" i="1"/>
  <c r="G451" i="1" s="1"/>
  <c r="K304" i="1"/>
  <c r="M304" i="1" s="1"/>
  <c r="J304" i="1"/>
  <c r="K303" i="1"/>
  <c r="M303" i="1" s="1"/>
  <c r="J303" i="1"/>
  <c r="K302" i="1"/>
  <c r="M302" i="1" s="1"/>
  <c r="J302" i="1"/>
  <c r="G450" i="1" s="1"/>
  <c r="K301" i="1"/>
  <c r="M301" i="1" s="1"/>
  <c r="J301" i="1"/>
  <c r="K300" i="1"/>
  <c r="M300" i="1" s="1"/>
  <c r="J300" i="1"/>
  <c r="K299" i="1"/>
  <c r="M299" i="1" s="1"/>
  <c r="J299" i="1"/>
  <c r="G449" i="1" s="1"/>
  <c r="K298" i="1"/>
  <c r="M298" i="1" s="1"/>
  <c r="J298" i="1"/>
  <c r="K297" i="1"/>
  <c r="M297" i="1" s="1"/>
  <c r="J297" i="1"/>
  <c r="K296" i="1"/>
  <c r="M296" i="1" s="1"/>
  <c r="J296" i="1"/>
  <c r="G448" i="1" s="1"/>
  <c r="K295" i="1"/>
  <c r="M295" i="1" s="1"/>
  <c r="J295" i="1"/>
  <c r="K294" i="1"/>
  <c r="M294" i="1" s="1"/>
  <c r="J294" i="1"/>
  <c r="K293" i="1"/>
  <c r="M293" i="1" s="1"/>
  <c r="J293" i="1"/>
  <c r="G447" i="1" s="1"/>
  <c r="K292" i="1"/>
  <c r="M292" i="1" s="1"/>
  <c r="J292" i="1"/>
  <c r="K291" i="1"/>
  <c r="M291" i="1" s="1"/>
  <c r="J291" i="1"/>
  <c r="K290" i="1"/>
  <c r="M290" i="1" s="1"/>
  <c r="J290" i="1"/>
  <c r="G446" i="1" s="1"/>
  <c r="K289" i="1"/>
  <c r="M289" i="1" s="1"/>
  <c r="J289" i="1"/>
  <c r="K288" i="1"/>
  <c r="M288" i="1" s="1"/>
  <c r="J288" i="1"/>
  <c r="K287" i="1"/>
  <c r="M287" i="1" s="1"/>
  <c r="J287" i="1"/>
  <c r="G445" i="1" s="1"/>
  <c r="K286" i="1"/>
  <c r="M286" i="1" s="1"/>
  <c r="J286" i="1"/>
  <c r="K285" i="1"/>
  <c r="M285" i="1" s="1"/>
  <c r="J285" i="1"/>
  <c r="K284" i="1"/>
  <c r="M284" i="1" s="1"/>
  <c r="J284" i="1"/>
  <c r="G444" i="1" s="1"/>
  <c r="K283" i="1"/>
  <c r="M283" i="1" s="1"/>
  <c r="J283" i="1"/>
  <c r="K282" i="1"/>
  <c r="M282" i="1" s="1"/>
  <c r="J282" i="1"/>
  <c r="K281" i="1"/>
  <c r="M281" i="1" s="1"/>
  <c r="J281" i="1"/>
  <c r="G443" i="1" s="1"/>
  <c r="K280" i="1"/>
  <c r="M280" i="1" s="1"/>
  <c r="J280" i="1"/>
  <c r="K279" i="1"/>
  <c r="M279" i="1" s="1"/>
  <c r="J279" i="1"/>
  <c r="K278" i="1"/>
  <c r="M278" i="1" s="1"/>
  <c r="J278" i="1"/>
  <c r="G442" i="1" s="1"/>
  <c r="K277" i="1"/>
  <c r="M277" i="1" s="1"/>
  <c r="J277" i="1"/>
  <c r="K276" i="1"/>
  <c r="M276" i="1" s="1"/>
  <c r="J276" i="1"/>
  <c r="K275" i="1"/>
  <c r="M275" i="1" s="1"/>
  <c r="J275" i="1"/>
  <c r="G441" i="1" s="1"/>
  <c r="K274" i="1"/>
  <c r="M274" i="1" s="1"/>
  <c r="J274" i="1"/>
  <c r="K273" i="1"/>
  <c r="M273" i="1" s="1"/>
  <c r="J273" i="1"/>
  <c r="K272" i="1"/>
  <c r="M272" i="1" s="1"/>
  <c r="J272" i="1"/>
  <c r="G440" i="1" s="1"/>
  <c r="K271" i="1"/>
  <c r="M271" i="1" s="1"/>
  <c r="J271" i="1"/>
  <c r="K270" i="1"/>
  <c r="M270" i="1" s="1"/>
  <c r="J270" i="1"/>
  <c r="K269" i="1"/>
  <c r="M269" i="1" s="1"/>
  <c r="J269" i="1"/>
  <c r="G439" i="1" s="1"/>
  <c r="K268" i="1"/>
  <c r="M268" i="1" s="1"/>
  <c r="J268" i="1"/>
  <c r="K267" i="1"/>
  <c r="M267" i="1" s="1"/>
  <c r="J267" i="1"/>
  <c r="K266" i="1"/>
  <c r="M266" i="1" s="1"/>
  <c r="J266" i="1"/>
  <c r="G438" i="1" s="1"/>
  <c r="K265" i="1"/>
  <c r="M265" i="1" s="1"/>
  <c r="J265" i="1"/>
  <c r="K264" i="1"/>
  <c r="M264" i="1" s="1"/>
  <c r="J264" i="1"/>
  <c r="K263" i="1"/>
  <c r="M263" i="1" s="1"/>
  <c r="J263" i="1"/>
  <c r="G437" i="1" s="1"/>
  <c r="K262" i="1"/>
  <c r="M262" i="1" s="1"/>
  <c r="J262" i="1"/>
  <c r="K261" i="1"/>
  <c r="M261" i="1" s="1"/>
  <c r="J261" i="1"/>
  <c r="K260" i="1"/>
  <c r="M260" i="1" s="1"/>
  <c r="J260" i="1"/>
  <c r="G436" i="1" s="1"/>
  <c r="K259" i="1"/>
  <c r="M259" i="1" s="1"/>
  <c r="J259" i="1"/>
  <c r="K258" i="1"/>
  <c r="M258" i="1" s="1"/>
  <c r="J258" i="1"/>
  <c r="K257" i="1"/>
  <c r="M257" i="1" s="1"/>
  <c r="J257" i="1"/>
  <c r="G435" i="1" s="1"/>
  <c r="K256" i="1"/>
  <c r="M256" i="1" s="1"/>
  <c r="J256" i="1"/>
  <c r="K255" i="1"/>
  <c r="M255" i="1" s="1"/>
  <c r="J255" i="1"/>
  <c r="K254" i="1"/>
  <c r="M254" i="1" s="1"/>
  <c r="J254" i="1"/>
  <c r="G434" i="1" s="1"/>
  <c r="K253" i="1"/>
  <c r="M253" i="1" s="1"/>
  <c r="J253" i="1"/>
  <c r="K252" i="1"/>
  <c r="M252" i="1" s="1"/>
  <c r="J252" i="1"/>
  <c r="K251" i="1"/>
  <c r="M251" i="1" s="1"/>
  <c r="J251" i="1"/>
  <c r="G433" i="1" s="1"/>
  <c r="K250" i="1"/>
  <c r="M250" i="1" s="1"/>
  <c r="J250" i="1"/>
  <c r="K249" i="1"/>
  <c r="M249" i="1" s="1"/>
  <c r="J249" i="1"/>
  <c r="K248" i="1"/>
  <c r="M248" i="1" s="1"/>
  <c r="J248" i="1"/>
  <c r="G432" i="1" s="1"/>
  <c r="K247" i="1"/>
  <c r="M247" i="1" s="1"/>
  <c r="J247" i="1"/>
  <c r="K246" i="1"/>
  <c r="M246" i="1" s="1"/>
  <c r="J246" i="1"/>
  <c r="K245" i="1"/>
  <c r="M245" i="1" s="1"/>
  <c r="J245" i="1"/>
  <c r="G431" i="1" s="1"/>
  <c r="K244" i="1"/>
  <c r="M244" i="1" s="1"/>
  <c r="J244" i="1"/>
  <c r="K243" i="1"/>
  <c r="M243" i="1" s="1"/>
  <c r="J243" i="1"/>
  <c r="K242" i="1"/>
  <c r="M242" i="1" s="1"/>
  <c r="J242" i="1"/>
  <c r="G430" i="1" s="1"/>
  <c r="K241" i="1"/>
  <c r="M241" i="1" s="1"/>
  <c r="J241" i="1"/>
  <c r="K240" i="1"/>
  <c r="M240" i="1" s="1"/>
  <c r="J240" i="1"/>
  <c r="K239" i="1"/>
  <c r="M239" i="1" s="1"/>
  <c r="J239" i="1"/>
  <c r="G429" i="1" s="1"/>
  <c r="K238" i="1"/>
  <c r="M238" i="1" s="1"/>
  <c r="J238" i="1"/>
  <c r="K237" i="1"/>
  <c r="M237" i="1" s="1"/>
  <c r="J237" i="1"/>
  <c r="K236" i="1"/>
  <c r="M236" i="1" s="1"/>
  <c r="J236" i="1"/>
  <c r="G428" i="1" s="1"/>
  <c r="K235" i="1"/>
  <c r="M235" i="1" s="1"/>
  <c r="J235" i="1"/>
  <c r="K234" i="1"/>
  <c r="M234" i="1" s="1"/>
  <c r="J234" i="1"/>
  <c r="K233" i="1"/>
  <c r="M233" i="1" s="1"/>
  <c r="J233" i="1"/>
  <c r="G427" i="1" s="1"/>
  <c r="K232" i="1"/>
  <c r="M232" i="1" s="1"/>
  <c r="J232" i="1"/>
  <c r="K231" i="1"/>
  <c r="M231" i="1" s="1"/>
  <c r="J231" i="1"/>
  <c r="K230" i="1"/>
  <c r="M230" i="1" s="1"/>
  <c r="J230" i="1"/>
  <c r="G426" i="1" s="1"/>
  <c r="K229" i="1"/>
  <c r="M229" i="1" s="1"/>
  <c r="J229" i="1"/>
  <c r="K228" i="1"/>
  <c r="M228" i="1" s="1"/>
  <c r="J228" i="1"/>
  <c r="K227" i="1"/>
  <c r="M227" i="1" s="1"/>
  <c r="J227" i="1"/>
  <c r="G425" i="1" s="1"/>
  <c r="K226" i="1"/>
  <c r="M226" i="1" s="1"/>
  <c r="J226" i="1"/>
  <c r="K225" i="1"/>
  <c r="M225" i="1" s="1"/>
  <c r="J225" i="1"/>
  <c r="K224" i="1"/>
  <c r="M224" i="1" s="1"/>
  <c r="J224" i="1"/>
  <c r="G424" i="1" s="1"/>
  <c r="K223" i="1"/>
  <c r="M223" i="1" s="1"/>
  <c r="J223" i="1"/>
  <c r="K222" i="1"/>
  <c r="M222" i="1" s="1"/>
  <c r="J222" i="1"/>
  <c r="K221" i="1"/>
  <c r="M221" i="1" s="1"/>
  <c r="J221" i="1"/>
  <c r="G423" i="1" s="1"/>
  <c r="K220" i="1"/>
  <c r="M220" i="1" s="1"/>
  <c r="J220" i="1"/>
  <c r="K219" i="1"/>
  <c r="M219" i="1" s="1"/>
  <c r="J219" i="1"/>
  <c r="K218" i="1"/>
  <c r="M218" i="1" s="1"/>
  <c r="J218" i="1"/>
  <c r="G422" i="1" s="1"/>
  <c r="K217" i="1"/>
  <c r="M217" i="1" s="1"/>
  <c r="J217" i="1"/>
  <c r="K216" i="1"/>
  <c r="M216" i="1" s="1"/>
  <c r="J216" i="1"/>
  <c r="K215" i="1"/>
  <c r="M215" i="1" s="1"/>
  <c r="J215" i="1"/>
  <c r="G421" i="1" s="1"/>
  <c r="K214" i="1"/>
  <c r="M214" i="1" s="1"/>
  <c r="J214" i="1"/>
  <c r="K213" i="1"/>
  <c r="M213" i="1" s="1"/>
  <c r="J213" i="1"/>
  <c r="K212" i="1"/>
  <c r="M212" i="1" s="1"/>
  <c r="J212" i="1"/>
  <c r="G420" i="1" s="1"/>
  <c r="K211" i="1"/>
  <c r="M211" i="1" s="1"/>
  <c r="J211" i="1"/>
  <c r="K210" i="1"/>
  <c r="M210" i="1" s="1"/>
  <c r="J210" i="1"/>
  <c r="K209" i="1"/>
  <c r="M209" i="1" s="1"/>
  <c r="J209" i="1"/>
  <c r="G419" i="1" s="1"/>
  <c r="K208" i="1"/>
  <c r="M208" i="1" s="1"/>
  <c r="J208" i="1"/>
  <c r="K207" i="1"/>
  <c r="M207" i="1" s="1"/>
  <c r="J207" i="1"/>
  <c r="K206" i="1"/>
  <c r="M206" i="1" s="1"/>
  <c r="J206" i="1"/>
  <c r="G418" i="1" s="1"/>
  <c r="K205" i="1"/>
  <c r="M205" i="1" s="1"/>
  <c r="J205" i="1"/>
  <c r="K204" i="1"/>
  <c r="M204" i="1" s="1"/>
  <c r="J204" i="1"/>
  <c r="K203" i="1"/>
  <c r="M203" i="1" s="1"/>
  <c r="J203" i="1"/>
  <c r="G417" i="1" s="1"/>
  <c r="K202" i="1"/>
  <c r="M202" i="1" s="1"/>
  <c r="J202" i="1"/>
  <c r="K201" i="1"/>
  <c r="M201" i="1" s="1"/>
  <c r="J201" i="1"/>
  <c r="K200" i="1"/>
  <c r="M200" i="1" s="1"/>
  <c r="J200" i="1"/>
  <c r="G416" i="1" s="1"/>
  <c r="K199" i="1"/>
  <c r="M199" i="1" s="1"/>
  <c r="J199" i="1"/>
  <c r="K198" i="1"/>
  <c r="M198" i="1" s="1"/>
  <c r="J198" i="1"/>
  <c r="K197" i="1"/>
  <c r="M197" i="1" s="1"/>
  <c r="J197" i="1"/>
  <c r="G415" i="1" s="1"/>
  <c r="K196" i="1"/>
  <c r="M196" i="1" s="1"/>
  <c r="J196" i="1"/>
  <c r="K195" i="1"/>
  <c r="M195" i="1" s="1"/>
  <c r="J195" i="1"/>
  <c r="K194" i="1"/>
  <c r="M194" i="1" s="1"/>
  <c r="J194" i="1"/>
  <c r="G414" i="1" s="1"/>
  <c r="K193" i="1"/>
  <c r="M193" i="1" s="1"/>
  <c r="J193" i="1"/>
  <c r="K192" i="1"/>
  <c r="M192" i="1" s="1"/>
  <c r="J192" i="1"/>
  <c r="K191" i="1"/>
  <c r="M191" i="1" s="1"/>
  <c r="J191" i="1"/>
  <c r="G413" i="1" s="1"/>
  <c r="K190" i="1"/>
  <c r="M190" i="1" s="1"/>
  <c r="J190" i="1"/>
  <c r="K189" i="1"/>
  <c r="M189" i="1" s="1"/>
  <c r="J189" i="1"/>
  <c r="K188" i="1"/>
  <c r="M188" i="1" s="1"/>
  <c r="J188" i="1"/>
  <c r="G412" i="1" s="1"/>
  <c r="K187" i="1"/>
  <c r="M187" i="1" s="1"/>
  <c r="J187" i="1"/>
  <c r="K186" i="1"/>
  <c r="M186" i="1" s="1"/>
  <c r="J186" i="1"/>
  <c r="K185" i="1"/>
  <c r="M185" i="1" s="1"/>
  <c r="J185" i="1"/>
  <c r="G411" i="1" s="1"/>
  <c r="K184" i="1"/>
  <c r="M184" i="1" s="1"/>
  <c r="J184" i="1"/>
  <c r="K183" i="1"/>
  <c r="M183" i="1" s="1"/>
  <c r="J183" i="1"/>
  <c r="K182" i="1"/>
  <c r="M182" i="1" s="1"/>
  <c r="J182" i="1"/>
  <c r="G410" i="1" s="1"/>
  <c r="K181" i="1"/>
  <c r="M181" i="1" s="1"/>
  <c r="J181" i="1"/>
  <c r="K180" i="1"/>
  <c r="M180" i="1" s="1"/>
  <c r="J180" i="1"/>
  <c r="K179" i="1"/>
  <c r="M179" i="1" s="1"/>
  <c r="J179" i="1"/>
  <c r="G409" i="1" s="1"/>
  <c r="K178" i="1"/>
  <c r="M178" i="1" s="1"/>
  <c r="J178" i="1"/>
  <c r="K177" i="1"/>
  <c r="M177" i="1" s="1"/>
  <c r="J177" i="1"/>
  <c r="K176" i="1"/>
  <c r="M176" i="1" s="1"/>
  <c r="J176" i="1"/>
  <c r="G408" i="1" s="1"/>
  <c r="K175" i="1"/>
  <c r="M175" i="1" s="1"/>
  <c r="J175" i="1"/>
  <c r="K174" i="1"/>
  <c r="M174" i="1" s="1"/>
  <c r="J174" i="1"/>
  <c r="K173" i="1"/>
  <c r="M173" i="1" s="1"/>
  <c r="J173" i="1"/>
  <c r="G407" i="1" s="1"/>
  <c r="K172" i="1"/>
  <c r="M172" i="1" s="1"/>
  <c r="J172" i="1"/>
  <c r="K171" i="1"/>
  <c r="M171" i="1" s="1"/>
  <c r="J171" i="1"/>
  <c r="K170" i="1"/>
  <c r="M170" i="1" s="1"/>
  <c r="J170" i="1"/>
  <c r="G406" i="1" s="1"/>
  <c r="K169" i="1"/>
  <c r="M169" i="1" s="1"/>
  <c r="J169" i="1"/>
  <c r="K168" i="1"/>
  <c r="M168" i="1" s="1"/>
  <c r="J168" i="1"/>
  <c r="K167" i="1"/>
  <c r="M167" i="1" s="1"/>
  <c r="J167" i="1"/>
  <c r="G405" i="1" s="1"/>
  <c r="K166" i="1"/>
  <c r="M166" i="1" s="1"/>
  <c r="J166" i="1"/>
  <c r="K165" i="1"/>
  <c r="M165" i="1" s="1"/>
  <c r="J165" i="1"/>
  <c r="K164" i="1"/>
  <c r="M164" i="1" s="1"/>
  <c r="J164" i="1"/>
  <c r="G404" i="1" s="1"/>
  <c r="K163" i="1"/>
  <c r="M163" i="1" s="1"/>
  <c r="J163" i="1"/>
  <c r="K162" i="1"/>
  <c r="M162" i="1" s="1"/>
  <c r="J162" i="1"/>
  <c r="K161" i="1"/>
  <c r="M161" i="1" s="1"/>
  <c r="J161" i="1"/>
  <c r="G403" i="1" s="1"/>
  <c r="K160" i="1"/>
  <c r="M160" i="1" s="1"/>
  <c r="J160" i="1"/>
  <c r="K159" i="1"/>
  <c r="M159" i="1" s="1"/>
  <c r="J159" i="1"/>
  <c r="K158" i="1"/>
  <c r="M158" i="1" s="1"/>
  <c r="J158" i="1"/>
  <c r="G402" i="1" s="1"/>
  <c r="K157" i="1"/>
  <c r="M157" i="1" s="1"/>
  <c r="J157" i="1"/>
  <c r="K156" i="1"/>
  <c r="M156" i="1" s="1"/>
  <c r="J156" i="1"/>
  <c r="K155" i="1"/>
  <c r="M155" i="1" s="1"/>
  <c r="J155" i="1"/>
  <c r="G401" i="1" s="1"/>
  <c r="K154" i="1"/>
  <c r="M154" i="1" s="1"/>
  <c r="J154" i="1"/>
  <c r="K153" i="1"/>
  <c r="M153" i="1" s="1"/>
  <c r="J153" i="1"/>
  <c r="K152" i="1"/>
  <c r="M152" i="1" s="1"/>
  <c r="J152" i="1"/>
  <c r="G400" i="1" s="1"/>
  <c r="K151" i="1"/>
  <c r="M151" i="1" s="1"/>
  <c r="J151" i="1"/>
  <c r="K150" i="1"/>
  <c r="M150" i="1" s="1"/>
  <c r="J150" i="1"/>
  <c r="K149" i="1"/>
  <c r="M149" i="1" s="1"/>
  <c r="J149" i="1"/>
  <c r="G399" i="1" s="1"/>
  <c r="K148" i="1"/>
  <c r="M148" i="1" s="1"/>
  <c r="J148" i="1"/>
  <c r="K147" i="1"/>
  <c r="M147" i="1" s="1"/>
  <c r="J147" i="1"/>
  <c r="K146" i="1"/>
  <c r="M146" i="1" s="1"/>
  <c r="J146" i="1"/>
  <c r="G398" i="1" s="1"/>
  <c r="K145" i="1"/>
  <c r="M145" i="1" s="1"/>
  <c r="J145" i="1"/>
  <c r="K144" i="1"/>
  <c r="M144" i="1" s="1"/>
  <c r="J144" i="1"/>
  <c r="K143" i="1"/>
  <c r="M143" i="1" s="1"/>
  <c r="J143" i="1"/>
  <c r="G397" i="1" s="1"/>
  <c r="K142" i="1"/>
  <c r="M142" i="1" s="1"/>
  <c r="J142" i="1"/>
  <c r="K141" i="1"/>
  <c r="M141" i="1" s="1"/>
  <c r="J141" i="1"/>
  <c r="K140" i="1"/>
  <c r="M140" i="1" s="1"/>
  <c r="J140" i="1"/>
  <c r="G396" i="1" s="1"/>
  <c r="K139" i="1"/>
  <c r="M139" i="1" s="1"/>
  <c r="J139" i="1"/>
  <c r="K138" i="1"/>
  <c r="M138" i="1" s="1"/>
  <c r="J138" i="1"/>
  <c r="K137" i="1"/>
  <c r="M137" i="1" s="1"/>
  <c r="J137" i="1"/>
  <c r="G395" i="1" s="1"/>
  <c r="K136" i="1"/>
  <c r="M136" i="1" s="1"/>
  <c r="J136" i="1"/>
  <c r="K135" i="1"/>
  <c r="M135" i="1" s="1"/>
  <c r="J135" i="1"/>
  <c r="K134" i="1"/>
  <c r="M134" i="1" s="1"/>
  <c r="J134" i="1"/>
  <c r="G394" i="1" s="1"/>
  <c r="K133" i="1"/>
  <c r="M133" i="1" s="1"/>
  <c r="J133" i="1"/>
  <c r="K132" i="1"/>
  <c r="M132" i="1" s="1"/>
  <c r="J132" i="1"/>
  <c r="K131" i="1"/>
  <c r="M131" i="1" s="1"/>
  <c r="J131" i="1"/>
  <c r="G393" i="1" s="1"/>
  <c r="K130" i="1"/>
  <c r="M130" i="1" s="1"/>
  <c r="J130" i="1"/>
  <c r="K129" i="1"/>
  <c r="M129" i="1" s="1"/>
  <c r="J129" i="1"/>
  <c r="K128" i="1"/>
  <c r="M128" i="1" s="1"/>
  <c r="J128" i="1"/>
  <c r="G392" i="1" s="1"/>
  <c r="K127" i="1"/>
  <c r="M127" i="1" s="1"/>
  <c r="J127" i="1"/>
  <c r="K126" i="1"/>
  <c r="M126" i="1" s="1"/>
  <c r="J126" i="1"/>
  <c r="K125" i="1"/>
  <c r="M125" i="1" s="1"/>
  <c r="J125" i="1"/>
  <c r="G391" i="1" s="1"/>
  <c r="K124" i="1"/>
  <c r="M124" i="1" s="1"/>
  <c r="J124" i="1"/>
  <c r="K123" i="1"/>
  <c r="M123" i="1" s="1"/>
  <c r="J123" i="1"/>
  <c r="K122" i="1"/>
  <c r="M122" i="1" s="1"/>
  <c r="J122" i="1"/>
  <c r="G390" i="1" s="1"/>
  <c r="K121" i="1"/>
  <c r="M121" i="1" s="1"/>
  <c r="J121" i="1"/>
  <c r="K120" i="1"/>
  <c r="M120" i="1" s="1"/>
  <c r="J120" i="1"/>
  <c r="K119" i="1"/>
  <c r="M119" i="1" s="1"/>
  <c r="J119" i="1"/>
  <c r="G389" i="1" s="1"/>
  <c r="K118" i="1"/>
  <c r="M118" i="1" s="1"/>
  <c r="J118" i="1"/>
  <c r="K117" i="1"/>
  <c r="M117" i="1" s="1"/>
  <c r="J117" i="1"/>
  <c r="K116" i="1"/>
  <c r="M116" i="1" s="1"/>
  <c r="J116" i="1"/>
  <c r="G388" i="1" s="1"/>
  <c r="K115" i="1"/>
  <c r="M115" i="1" s="1"/>
  <c r="J115" i="1"/>
  <c r="K114" i="1"/>
  <c r="M114" i="1" s="1"/>
  <c r="J114" i="1"/>
  <c r="K113" i="1"/>
  <c r="M113" i="1" s="1"/>
  <c r="J113" i="1"/>
  <c r="G387" i="1" s="1"/>
  <c r="K112" i="1"/>
  <c r="M112" i="1" s="1"/>
  <c r="J112" i="1"/>
  <c r="K111" i="1"/>
  <c r="M111" i="1" s="1"/>
  <c r="J111" i="1"/>
  <c r="K110" i="1"/>
  <c r="M110" i="1" s="1"/>
  <c r="J110" i="1"/>
  <c r="G386" i="1" s="1"/>
  <c r="K109" i="1"/>
  <c r="M109" i="1" s="1"/>
  <c r="J109" i="1"/>
  <c r="K108" i="1"/>
  <c r="M108" i="1" s="1"/>
  <c r="J108" i="1"/>
  <c r="K107" i="1"/>
  <c r="M107" i="1" s="1"/>
  <c r="J107" i="1"/>
  <c r="G385" i="1" s="1"/>
  <c r="K106" i="1"/>
  <c r="M106" i="1" s="1"/>
  <c r="J106" i="1"/>
  <c r="K105" i="1"/>
  <c r="M105" i="1" s="1"/>
  <c r="J105" i="1"/>
  <c r="K104" i="1"/>
  <c r="M104" i="1" s="1"/>
  <c r="J104" i="1"/>
  <c r="G384" i="1" s="1"/>
  <c r="K103" i="1"/>
  <c r="M103" i="1" s="1"/>
  <c r="J103" i="1"/>
  <c r="K102" i="1"/>
  <c r="M102" i="1" s="1"/>
  <c r="J102" i="1"/>
  <c r="K101" i="1"/>
  <c r="M101" i="1" s="1"/>
  <c r="J101" i="1"/>
  <c r="G383" i="1" s="1"/>
  <c r="K100" i="1"/>
  <c r="M100" i="1" s="1"/>
  <c r="J100" i="1"/>
  <c r="K99" i="1"/>
  <c r="M99" i="1" s="1"/>
  <c r="J99" i="1"/>
  <c r="K98" i="1"/>
  <c r="M98" i="1" s="1"/>
  <c r="J98" i="1"/>
  <c r="G382" i="1" s="1"/>
  <c r="K97" i="1"/>
  <c r="M97" i="1" s="1"/>
  <c r="J97" i="1"/>
  <c r="K96" i="1"/>
  <c r="M96" i="1" s="1"/>
  <c r="J96" i="1"/>
  <c r="K95" i="1"/>
  <c r="M95" i="1" s="1"/>
  <c r="J95" i="1"/>
  <c r="G381" i="1" s="1"/>
  <c r="K94" i="1"/>
  <c r="M94" i="1" s="1"/>
  <c r="J94" i="1"/>
  <c r="K93" i="1"/>
  <c r="M93" i="1" s="1"/>
  <c r="J93" i="1"/>
  <c r="K92" i="1"/>
  <c r="M92" i="1" s="1"/>
  <c r="J92" i="1"/>
  <c r="G380" i="1" s="1"/>
  <c r="K91" i="1"/>
  <c r="M91" i="1" s="1"/>
  <c r="J91" i="1"/>
  <c r="K90" i="1"/>
  <c r="M90" i="1" s="1"/>
  <c r="J90" i="1"/>
  <c r="K89" i="1"/>
  <c r="M89" i="1" s="1"/>
  <c r="J89" i="1"/>
  <c r="G379" i="1" s="1"/>
  <c r="K88" i="1"/>
  <c r="M88" i="1" s="1"/>
  <c r="J88" i="1"/>
  <c r="K87" i="1"/>
  <c r="M87" i="1" s="1"/>
  <c r="J87" i="1"/>
  <c r="K86" i="1"/>
  <c r="M86" i="1" s="1"/>
  <c r="J86" i="1"/>
  <c r="G378" i="1" s="1"/>
  <c r="K85" i="1"/>
  <c r="M85" i="1" s="1"/>
  <c r="J85" i="1"/>
  <c r="K84" i="1"/>
  <c r="M84" i="1" s="1"/>
  <c r="J84" i="1"/>
  <c r="K83" i="1"/>
  <c r="M83" i="1" s="1"/>
  <c r="J83" i="1"/>
  <c r="G377" i="1" s="1"/>
  <c r="K82" i="1"/>
  <c r="M82" i="1" s="1"/>
  <c r="J82" i="1"/>
  <c r="K81" i="1"/>
  <c r="M81" i="1" s="1"/>
  <c r="J81" i="1"/>
  <c r="K80" i="1"/>
  <c r="M80" i="1" s="1"/>
  <c r="J80" i="1"/>
  <c r="G376" i="1" s="1"/>
  <c r="K79" i="1"/>
  <c r="M79" i="1" s="1"/>
  <c r="J79" i="1"/>
  <c r="K78" i="1"/>
  <c r="M78" i="1" s="1"/>
  <c r="J78" i="1"/>
  <c r="K77" i="1"/>
  <c r="M77" i="1" s="1"/>
  <c r="J77" i="1"/>
  <c r="G375" i="1" s="1"/>
  <c r="K76" i="1"/>
  <c r="M76" i="1" s="1"/>
  <c r="J76" i="1"/>
  <c r="K75" i="1"/>
  <c r="M75" i="1" s="1"/>
  <c r="J75" i="1"/>
  <c r="K74" i="1"/>
  <c r="M74" i="1" s="1"/>
  <c r="J74" i="1"/>
  <c r="G374" i="1" s="1"/>
  <c r="K73" i="1"/>
  <c r="M73" i="1" s="1"/>
  <c r="J73" i="1"/>
  <c r="K72" i="1"/>
  <c r="M72" i="1" s="1"/>
  <c r="J72" i="1"/>
  <c r="K71" i="1"/>
  <c r="M71" i="1" s="1"/>
  <c r="J71" i="1"/>
  <c r="G373" i="1" s="1"/>
  <c r="K70" i="1"/>
  <c r="M70" i="1" s="1"/>
  <c r="J70" i="1"/>
  <c r="K69" i="1"/>
  <c r="M69" i="1" s="1"/>
  <c r="J69" i="1"/>
  <c r="K68" i="1"/>
  <c r="M68" i="1" s="1"/>
  <c r="J68" i="1"/>
  <c r="G372" i="1" s="1"/>
  <c r="K67" i="1"/>
  <c r="M67" i="1" s="1"/>
  <c r="J67" i="1"/>
  <c r="K66" i="1"/>
  <c r="M66" i="1" s="1"/>
  <c r="J66" i="1"/>
  <c r="K65" i="1"/>
  <c r="M65" i="1" s="1"/>
  <c r="J65" i="1"/>
  <c r="G371" i="1" s="1"/>
  <c r="K64" i="1"/>
  <c r="M64" i="1" s="1"/>
  <c r="J64" i="1"/>
  <c r="K63" i="1"/>
  <c r="M63" i="1" s="1"/>
  <c r="J63" i="1"/>
  <c r="K62" i="1"/>
  <c r="M62" i="1" s="1"/>
  <c r="J62" i="1"/>
  <c r="G370" i="1" s="1"/>
  <c r="K61" i="1"/>
  <c r="M61" i="1" s="1"/>
  <c r="J61" i="1"/>
  <c r="K60" i="1"/>
  <c r="M60" i="1" s="1"/>
  <c r="J60" i="1"/>
  <c r="K59" i="1"/>
  <c r="M59" i="1" s="1"/>
  <c r="J59" i="1"/>
  <c r="G369" i="1" s="1"/>
  <c r="K58" i="1"/>
  <c r="M58" i="1" s="1"/>
  <c r="J58" i="1"/>
  <c r="K57" i="1"/>
  <c r="M57" i="1" s="1"/>
  <c r="J57" i="1"/>
  <c r="K56" i="1"/>
  <c r="M56" i="1" s="1"/>
  <c r="J56" i="1"/>
  <c r="G368" i="1" s="1"/>
  <c r="K55" i="1"/>
  <c r="M55" i="1" s="1"/>
  <c r="J55" i="1"/>
  <c r="K54" i="1"/>
  <c r="M54" i="1" s="1"/>
  <c r="J54" i="1"/>
  <c r="K53" i="1"/>
  <c r="M53" i="1" s="1"/>
  <c r="J53" i="1"/>
  <c r="G367" i="1" s="1"/>
  <c r="K52" i="1"/>
  <c r="M52" i="1" s="1"/>
  <c r="J52" i="1"/>
  <c r="K51" i="1"/>
  <c r="M51" i="1" s="1"/>
  <c r="J51" i="1"/>
  <c r="K50" i="1"/>
  <c r="M50" i="1" s="1"/>
  <c r="J50" i="1"/>
  <c r="G366" i="1" s="1"/>
  <c r="K49" i="1"/>
  <c r="M49" i="1" s="1"/>
  <c r="J49" i="1"/>
  <c r="K48" i="1"/>
  <c r="M48" i="1" s="1"/>
  <c r="J48" i="1"/>
  <c r="K47" i="1"/>
  <c r="M47" i="1" s="1"/>
  <c r="J47" i="1"/>
  <c r="G365" i="1" s="1"/>
  <c r="K46" i="1"/>
  <c r="M46" i="1" s="1"/>
  <c r="J46" i="1"/>
  <c r="K45" i="1"/>
  <c r="M45" i="1" s="1"/>
  <c r="J45" i="1"/>
  <c r="K44" i="1"/>
  <c r="M44" i="1" s="1"/>
  <c r="J44" i="1"/>
  <c r="G364" i="1" s="1"/>
  <c r="K43" i="1"/>
  <c r="M43" i="1" s="1"/>
  <c r="J43" i="1"/>
  <c r="K42" i="1"/>
  <c r="M42" i="1" s="1"/>
  <c r="J42" i="1"/>
  <c r="K41" i="1"/>
  <c r="M41" i="1" s="1"/>
  <c r="J41" i="1"/>
  <c r="G363" i="1" s="1"/>
  <c r="K40" i="1"/>
  <c r="M40" i="1" s="1"/>
  <c r="J40" i="1"/>
  <c r="K39" i="1"/>
  <c r="M39" i="1" s="1"/>
  <c r="J39" i="1"/>
  <c r="K38" i="1"/>
  <c r="M38" i="1" s="1"/>
  <c r="J38" i="1"/>
  <c r="G362" i="1" s="1"/>
  <c r="K37" i="1"/>
  <c r="M37" i="1" s="1"/>
  <c r="J37" i="1"/>
  <c r="K36" i="1"/>
  <c r="M36" i="1" s="1"/>
  <c r="J36" i="1"/>
  <c r="K35" i="1"/>
  <c r="M35" i="1" s="1"/>
  <c r="J35" i="1"/>
  <c r="G361" i="1" s="1"/>
  <c r="K34" i="1"/>
  <c r="M34" i="1" s="1"/>
  <c r="J34" i="1"/>
  <c r="K33" i="1"/>
  <c r="M33" i="1" s="1"/>
  <c r="J33" i="1"/>
  <c r="K32" i="1"/>
  <c r="M32" i="1" s="1"/>
  <c r="J32" i="1"/>
  <c r="G360" i="1" s="1"/>
  <c r="K31" i="1"/>
  <c r="M31" i="1" s="1"/>
  <c r="J31" i="1"/>
  <c r="K30" i="1"/>
  <c r="M30" i="1" s="1"/>
  <c r="J30" i="1"/>
  <c r="K29" i="1"/>
  <c r="M29" i="1" s="1"/>
  <c r="J29" i="1"/>
  <c r="G359" i="1" s="1"/>
  <c r="K28" i="1"/>
  <c r="M28" i="1" s="1"/>
  <c r="J28" i="1"/>
  <c r="K27" i="1"/>
  <c r="M27" i="1" s="1"/>
  <c r="J27" i="1"/>
  <c r="K26" i="1"/>
  <c r="M26" i="1" s="1"/>
  <c r="J26" i="1"/>
  <c r="G358" i="1" s="1"/>
  <c r="K25" i="1"/>
  <c r="M25" i="1" s="1"/>
  <c r="J25" i="1"/>
  <c r="K24" i="1"/>
  <c r="M24" i="1" s="1"/>
  <c r="J24" i="1"/>
  <c r="K23" i="1"/>
  <c r="M23" i="1" s="1"/>
  <c r="J23" i="1"/>
  <c r="G357" i="1" s="1"/>
  <c r="K22" i="1"/>
  <c r="M22" i="1" s="1"/>
  <c r="J22" i="1"/>
  <c r="K21" i="1"/>
  <c r="M21" i="1" s="1"/>
  <c r="J21" i="1"/>
  <c r="K20" i="1"/>
  <c r="M20" i="1" s="1"/>
  <c r="J20" i="1"/>
  <c r="G356" i="1" s="1"/>
  <c r="K19" i="1"/>
  <c r="M19" i="1" s="1"/>
  <c r="J19" i="1"/>
  <c r="K18" i="1"/>
  <c r="M18" i="1" s="1"/>
  <c r="J18" i="1"/>
  <c r="K17" i="1"/>
  <c r="M17" i="1" s="1"/>
  <c r="J17" i="1"/>
  <c r="G355" i="1" s="1"/>
  <c r="K16" i="1"/>
  <c r="M16" i="1" s="1"/>
  <c r="J16" i="1"/>
  <c r="K15" i="1"/>
  <c r="M15" i="1" s="1"/>
  <c r="J15" i="1"/>
  <c r="K14" i="1"/>
  <c r="M14" i="1" s="1"/>
  <c r="J14" i="1"/>
  <c r="G354" i="1" s="1"/>
  <c r="K13" i="1"/>
  <c r="M13" i="1" s="1"/>
  <c r="J13" i="1"/>
  <c r="K12" i="1"/>
  <c r="M12" i="1" s="1"/>
  <c r="J12" i="1"/>
  <c r="K11" i="1"/>
  <c r="M11" i="1" s="1"/>
  <c r="J11" i="1"/>
  <c r="G353" i="1" s="1"/>
  <c r="K10" i="1"/>
  <c r="M10" i="1" s="1"/>
  <c r="J10" i="1"/>
  <c r="K9" i="1"/>
  <c r="M9" i="1" s="1"/>
  <c r="J9" i="1"/>
  <c r="K8" i="1"/>
  <c r="M8" i="1" s="1"/>
  <c r="J8" i="1"/>
  <c r="G352" i="1" s="1"/>
  <c r="K7" i="1"/>
  <c r="M7" i="1" s="1"/>
  <c r="J7" i="1"/>
  <c r="K6" i="1"/>
  <c r="M6" i="1" s="1"/>
  <c r="J6" i="1"/>
  <c r="K5" i="1"/>
  <c r="M5" i="1" s="1"/>
  <c r="J5" i="1"/>
  <c r="G351" i="1" s="1"/>
  <c r="P4" i="1" l="1"/>
</calcChain>
</file>

<file path=xl/sharedStrings.xml><?xml version="1.0" encoding="utf-8"?>
<sst xmlns="http://schemas.openxmlformats.org/spreadsheetml/2006/main" count="1523" uniqueCount="62">
  <si>
    <t>Sailing</t>
  </si>
  <si>
    <t>Cabin Type</t>
  </si>
  <si>
    <t>Fare Class</t>
  </si>
  <si>
    <t>Capacity
(cabins)</t>
  </si>
  <si>
    <t>Price
($/cabin)</t>
  </si>
  <si>
    <t>Expected
Demand</t>
  </si>
  <si>
    <t>Overbook
Cap</t>
  </si>
  <si>
    <t>Comp /
Guest ($)</t>
  </si>
  <si>
    <t>Decision booking</t>
  </si>
  <si>
    <t>Max Allowed
Bookings
(Cap+OB)</t>
  </si>
  <si>
    <t>Revenue
($)</t>
  </si>
  <si>
    <t>overbooking compensation</t>
  </si>
  <si>
    <t>Net Row
Profit ($)</t>
  </si>
  <si>
    <t>Objective</t>
  </si>
  <si>
    <t>S1</t>
  </si>
  <si>
    <t>Balcony</t>
  </si>
  <si>
    <t>Early</t>
  </si>
  <si>
    <t>Premium</t>
  </si>
  <si>
    <t>Standard</t>
  </si>
  <si>
    <t>Club Balcony</t>
  </si>
  <si>
    <t>Haven</t>
  </si>
  <si>
    <t>Inside</t>
  </si>
  <si>
    <t>Oceanview</t>
  </si>
  <si>
    <t>Studio</t>
  </si>
  <si>
    <t>S10</t>
  </si>
  <si>
    <t>Suite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</si>
  <si>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</si>
  <si>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</si>
  <si>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</si>
  <si>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</si>
  <si>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</si>
  <si>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</si>
  <si>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</si>
  <si>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</si>
  <si>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</si>
  <si>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</t>
  </si>
  <si>
    <t>S20</t>
  </si>
  <si>
    <t>S3</t>
  </si>
  <si>
    <t>S4</t>
  </si>
  <si>
    <t>S5</t>
  </si>
  <si>
    <t>S6</t>
  </si>
  <si>
    <t>S7</t>
  </si>
  <si>
    <t>S8</t>
  </si>
  <si>
    <t>S9</t>
  </si>
  <si>
    <t>B_Early
(col I)</t>
  </si>
  <si>
    <t>B_Premium
(col I)</t>
  </si>
  <si>
    <t>B_Standard
(col I)</t>
  </si>
  <si>
    <t>SUM(B_E+B_P+B_S)</t>
  </si>
  <si>
    <t>Cap+OB
(col J)</t>
  </si>
  <si>
    <t>Overbooking Constraints: SUM(I_Early:I_Standard) - D ≤ G  (Actual OB ≤ OB Cap, per Sailing × Cabin Type)</t>
  </si>
  <si>
    <t>SUM - Capacity
(Actual OB)</t>
  </si>
  <si>
    <t>OB Cap
(col G)</t>
  </si>
  <si>
    <t>I5 + I6 + i7 &lt;= 1121</t>
  </si>
  <si>
    <t>I5 + I6 + I7 &lt;= 1088 + OBS1Balcony</t>
  </si>
  <si>
    <t>OBS1Balcony = how many balcony cabins in Sailing 1 were overbooked</t>
  </si>
  <si>
    <t>&lt;-- This is OBS1Balcony</t>
  </si>
  <si>
    <t xml:space="preserve"> </t>
  </si>
  <si>
    <t>Capacity</t>
  </si>
  <si>
    <t>No-show rate</t>
  </si>
  <si>
    <t>Overbooking number</t>
  </si>
  <si>
    <t>Max Capacity</t>
  </si>
  <si>
    <t>Capacity Constraints: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</si>
</sst>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#,##0.0"/>
    <numFmt numFmtId="166" formatCode="&quot;$&quot;#,##0.00"/>
  </numFmts>
  <fonts count="15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theme="0"/>
      <name val="Arial"/>
      <family val="2"/>
    </font>
    <font>
      <b/>
      <sz val="10"/>
      <color rgb="FF0D2D4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1"/>
      <color rgb="FF0000FF"/>
      <name val="Arial"/>
      <family val="2"/>
    </font>
    <font>
      <sz val="10"/>
      <color rgb="FF000000"/>
      <name val="Arial"/>
      <family val="2"/>
    </font>
    <font>
      <b/>
      <sz val="11"/>
      <color rgb="FF0D2D4F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18"/>
      <color theme="5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D2D4F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FF"/>
      </patternFill>
    </fill>
    <fill>
      <patternFill patternType="solid">
        <fgColor rgb="FFE8F8F5"/>
      </patternFill>
    </fill>
    <fill>
      <patternFill patternType="solid">
        <fgColor rgb="FFFFFACD"/>
      </patternFill>
    </fill>
    <fill>
      <patternFill patternType="solid">
        <fgColor rgb="FFF5F5F5"/>
      </patternFill>
    </fill>
    <fill>
      <patternFill patternType="solid">
        <fgColor rgb="FFFEF5E7"/>
      </patternFill>
    </fill>
    <fill>
      <patternFill patternType="solid">
        <fgColor rgb="FFFDFEFE"/>
      </patternFill>
    </fill>
    <fill>
      <patternFill patternType="solid">
        <fgColor rgb="FFEAF2FF"/>
      </patternFill>
    </fill>
    <fill>
      <patternFill patternType="solid">
        <fgColor rgb="FFFEF9E7"/>
      </patternFill>
    </fill>
    <fill>
      <patternFill patternType="solid">
        <fgColor rgb="FFF0A500"/>
      </patternFill>
    </fill>
    <fill>
      <patternFill patternType="solid">
        <fgColor rgb="FFD6EAF8"/>
      </patternFill>
    </fill>
    <fill>
      <patternFill patternType="solid">
        <fgColor rgb="FF1B7F79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DCE6F1"/>
      </patternFill>
    </fill>
  </fills>
  <borders count="13">
    <border>
      <left/>
      <right/>
      <top/>
      <bottom/>
      <diagonal/>
    </border>
    <border>
      <left style="thin">
        <color rgb="FF0D2D4F"/>
      </left>
      <right style="thin">
        <color rgb="FF0D2D4F"/>
      </right>
      <top style="thin">
        <color rgb="FF0D2D4F"/>
      </top>
      <bottom style="thin">
        <color rgb="FF0D2D4F"/>
      </bottom>
      <diagonal/>
    </border>
    <border>
      <left style="thin">
        <color rgb="FF0D2D4F"/>
      </left>
      <right style="thin">
        <color rgb="FF0D2D4F"/>
      </right>
      <top/>
      <bottom/>
      <diagonal/>
    </border>
    <border>
      <left style="thin">
        <color rgb="FF0D2D4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F0A500"/>
      </left>
      <right style="medium">
        <color rgb="FFF0A500"/>
      </right>
      <top style="thin">
        <color rgb="FFF0A500"/>
      </top>
      <bottom style="thin">
        <color rgb="FFF0A500"/>
      </bottom>
      <diagonal/>
    </border>
    <border>
      <left style="medium">
        <color rgb="FFF0A500"/>
      </left>
      <right style="medium">
        <color rgb="FFF0A500"/>
      </right>
      <top style="medium">
        <color rgb="FFF0A500"/>
      </top>
      <bottom style="medium">
        <color rgb="FFF0A500"/>
      </bottom>
      <diagonal/>
    </border>
    <border>
      <left style="thin">
        <color rgb="FF1B7F79"/>
      </left>
      <right style="thin">
        <color rgb="FF1B7F79"/>
      </right>
      <top style="thin">
        <color rgb="FF1B7F79"/>
      </top>
      <bottom style="thin">
        <color rgb="FF1B7F79"/>
      </bottom>
      <diagonal/>
    </border>
    <border>
      <left style="medium">
        <color rgb="FF1B7F79"/>
      </left>
      <right style="medium">
        <color rgb="FF1B7F79"/>
      </right>
      <top style="medium">
        <color rgb="FF1B7F79"/>
      </top>
      <bottom style="medium">
        <color rgb="FF1B7F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left" vertical="center" indent="1"/>
    </xf>
    <xf numFmtId="0" fontId="4" fillId="7" borderId="4" xfId="0" applyFont="1" applyFill="1" applyBorder="1" applyAlignment="1">
      <alignment horizontal="center" vertical="center"/>
    </xf>
    <xf numFmtId="3" fontId="5" fillId="6" borderId="4" xfId="0" applyNumberFormat="1" applyFont="1" applyFill="1" applyBorder="1" applyAlignment="1">
      <alignment horizontal="right" vertical="center"/>
    </xf>
    <xf numFmtId="164" fontId="5" fillId="6" borderId="4" xfId="0" applyNumberFormat="1" applyFont="1" applyFill="1" applyBorder="1" applyAlignment="1">
      <alignment horizontal="right" vertical="center"/>
    </xf>
    <xf numFmtId="3" fontId="6" fillId="8" borderId="5" xfId="0" applyNumberFormat="1" applyFont="1" applyFill="1" applyBorder="1" applyAlignment="1">
      <alignment horizontal="center" vertical="center"/>
    </xf>
    <xf numFmtId="3" fontId="0" fillId="0" borderId="0" xfId="0" applyNumberFormat="1"/>
    <xf numFmtId="164" fontId="7" fillId="6" borderId="4" xfId="0" applyNumberFormat="1" applyFont="1" applyFill="1" applyBorder="1" applyAlignment="1">
      <alignment horizontal="right" vertical="center"/>
    </xf>
    <xf numFmtId="9" fontId="0" fillId="0" borderId="0" xfId="0" applyNumberFormat="1"/>
    <xf numFmtId="165" fontId="7" fillId="9" borderId="4" xfId="0" applyNumberFormat="1" applyFont="1" applyFill="1" applyBorder="1" applyAlignment="1">
      <alignment horizontal="right" vertical="center"/>
    </xf>
    <xf numFmtId="0" fontId="3" fillId="9" borderId="4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3" fontId="5" fillId="9" borderId="4" xfId="0" applyNumberFormat="1" applyFont="1" applyFill="1" applyBorder="1" applyAlignment="1">
      <alignment horizontal="right" vertical="center"/>
    </xf>
    <xf numFmtId="164" fontId="5" fillId="9" borderId="4" xfId="0" applyNumberFormat="1" applyFont="1" applyFill="1" applyBorder="1" applyAlignment="1">
      <alignment horizontal="right" vertical="center"/>
    </xf>
    <xf numFmtId="164" fontId="7" fillId="9" borderId="4" xfId="0" applyNumberFormat="1" applyFont="1" applyFill="1" applyBorder="1" applyAlignment="1">
      <alignment horizontal="right" vertical="center"/>
    </xf>
    <xf numFmtId="0" fontId="4" fillId="11" borderId="4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left" vertical="center" indent="1"/>
    </xf>
    <xf numFmtId="0" fontId="4" fillId="13" borderId="4" xfId="0" applyFont="1" applyFill="1" applyBorder="1" applyAlignment="1">
      <alignment horizontal="left" vertical="center" indent="1"/>
    </xf>
    <xf numFmtId="0" fontId="4" fillId="11" borderId="4" xfId="0" applyFont="1" applyFill="1" applyBorder="1" applyAlignment="1">
      <alignment horizontal="left" vertical="center" indent="1"/>
    </xf>
    <xf numFmtId="3" fontId="8" fillId="14" borderId="6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right" vertical="center"/>
    </xf>
    <xf numFmtId="0" fontId="0" fillId="15" borderId="7" xfId="0" applyFill="1" applyBorder="1"/>
    <xf numFmtId="0" fontId="0" fillId="16" borderId="8" xfId="0" applyFill="1" applyBorder="1"/>
    <xf numFmtId="0" fontId="11" fillId="19" borderId="9" xfId="0" applyFont="1" applyFill="1" applyBorder="1" applyAlignment="1">
      <alignment horizontal="center" vertical="center" wrapText="1"/>
    </xf>
    <xf numFmtId="0" fontId="12" fillId="17" borderId="9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18" borderId="9" xfId="0" applyFont="1" applyFill="1" applyBorder="1" applyAlignment="1">
      <alignment horizontal="center" vertical="center" wrapText="1"/>
    </xf>
    <xf numFmtId="0" fontId="11" fillId="20" borderId="9" xfId="0" applyFont="1" applyFill="1" applyBorder="1" applyAlignment="1">
      <alignment horizontal="center" vertical="center" wrapText="1"/>
    </xf>
    <xf numFmtId="0" fontId="0" fillId="21" borderId="0" xfId="0" applyFill="1"/>
    <xf numFmtId="0" fontId="13" fillId="0" borderId="10" xfId="0" applyFont="1" applyBorder="1" applyAlignment="1">
      <alignment horizontal="center"/>
    </xf>
    <xf numFmtId="0" fontId="13" fillId="22" borderId="10" xfId="0" applyFont="1" applyFill="1" applyBorder="1" applyAlignment="1">
      <alignment horizontal="center"/>
    </xf>
    <xf numFmtId="0" fontId="11" fillId="19" borderId="11" xfId="0" applyFont="1" applyFill="1" applyBorder="1" applyAlignment="1">
      <alignment horizontal="center" vertical="center" wrapText="1"/>
    </xf>
    <xf numFmtId="0" fontId="11" fillId="19" borderId="12" xfId="0" applyFont="1" applyFill="1" applyBorder="1" applyAlignment="1">
      <alignment horizontal="center" vertical="center" wrapText="1"/>
    </xf>
    <xf numFmtId="166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14" fillId="0" borderId="0" xfId="0" applyNumberFormat="1" applyFont="1"/>
    <xf numFmtId="0" fontId="0" fillId="21" borderId="9" xfId="0" applyFill="1" applyBorder="1"/>
    <xf numFmtId="0" fontId="10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464"/>
  <sheetViews>
    <sheetView tabSelected="1" topLeftCell="G9" zoomScale="86" zoomScaleNormal="160" workbookViewId="0">
      <selection activeCell="O15" sqref="O15"/>
    </sheetView>
  </sheetViews>
  <sheetFormatPr defaultColWidth="8.77734375" defaultRowHeight="14.4" x14ac:dyDescent="0.3"/>
  <cols>
    <col min="1" max="1" width="8" bestFit="1" customWidth="1"/>
    <col min="2" max="2" width="13.44140625" bestFit="1" customWidth="1"/>
    <col min="3" max="3" width="9.109375" bestFit="1" customWidth="1"/>
    <col min="4" max="4" width="11.77734375" bestFit="1" customWidth="1"/>
    <col min="5" max="5" width="12.6640625" bestFit="1" customWidth="1"/>
    <col min="6" max="6" width="18.33203125" bestFit="1" customWidth="1"/>
    <col min="7" max="7" width="10.6640625" bestFit="1" customWidth="1"/>
    <col min="8" max="8" width="10.21875" bestFit="1" customWidth="1"/>
    <col min="9" max="9" width="7.33203125" bestFit="1" customWidth="1"/>
    <col min="10" max="10" width="10.77734375" bestFit="1" customWidth="1"/>
    <col min="11" max="11" width="9.21875" bestFit="1" customWidth="1"/>
    <col min="12" max="12" width="12.21875" bestFit="1" customWidth="1"/>
    <col min="13" max="13" width="10.44140625" bestFit="1" customWidth="1"/>
    <col min="14" max="14" width="1.77734375" bestFit="1" customWidth="1"/>
    <col min="15" max="15" width="44.109375" customWidth="1"/>
    <col min="16" max="16" width="21" customWidth="1"/>
    <col min="17" max="17" width="6.33203125" bestFit="1" customWidth="1"/>
    <col min="18" max="18" width="6.21875" bestFit="1" customWidth="1"/>
    <col min="21" max="21" width="8.109375" bestFit="1" customWidth="1"/>
    <col min="22" max="22" width="8.44140625" bestFit="1" customWidth="1"/>
  </cols>
  <sheetData>
    <row r="2" spans="1:22" x14ac:dyDescent="0.3">
      <c r="O2" t="s">
        <v>58</v>
      </c>
      <c r="P2">
        <f>1%</f>
        <v>0.01</v>
      </c>
      <c r="Q2" s="44">
        <v>0.03</v>
      </c>
      <c r="R2">
        <v>0.05</v>
      </c>
    </row>
    <row r="3" spans="1:22" x14ac:dyDescent="0.3">
      <c r="I3" s="1"/>
      <c r="K3" s="1"/>
      <c r="M3" s="1"/>
      <c r="U3" s="1"/>
      <c r="V3" s="1"/>
    </row>
    <row r="4" spans="1:22" ht="48" customHeight="1" x14ac:dyDescent="0.4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3" t="s">
        <v>8</v>
      </c>
      <c r="J4" s="4" t="s">
        <v>9</v>
      </c>
      <c r="K4" s="2" t="s">
        <v>10</v>
      </c>
      <c r="L4" s="5" t="s">
        <v>11</v>
      </c>
      <c r="M4" s="2" t="s">
        <v>12</v>
      </c>
      <c r="O4" s="6" t="s">
        <v>13</v>
      </c>
      <c r="P4" s="43">
        <f>SUM(M5:M346)</f>
        <v>31234927.269999996</v>
      </c>
      <c r="R4" s="7"/>
      <c r="S4" s="7"/>
      <c r="V4" s="42"/>
    </row>
    <row r="5" spans="1:22" x14ac:dyDescent="0.3">
      <c r="A5" s="8" t="s">
        <v>14</v>
      </c>
      <c r="B5" s="9" t="s">
        <v>15</v>
      </c>
      <c r="C5" s="10" t="s">
        <v>16</v>
      </c>
      <c r="D5" s="11">
        <v>1088</v>
      </c>
      <c r="E5" s="12">
        <v>897</v>
      </c>
      <c r="F5" s="11">
        <v>434</v>
      </c>
      <c r="G5" s="11">
        <v>33</v>
      </c>
      <c r="H5" s="12">
        <v>500</v>
      </c>
      <c r="I5" s="13">
        <v>412</v>
      </c>
      <c r="J5" s="14">
        <f t="shared" ref="J5:J68" si="0">D5+G5</f>
        <v>1121</v>
      </c>
      <c r="K5" s="15">
        <f t="shared" ref="K5:K68" si="1">I5*E5</f>
        <v>369564</v>
      </c>
      <c r="L5" s="41">
        <f t="shared" ref="L5:L36" si="2">(1-$Q$2)*(E5+H5)*I351</f>
        <v>44717.969999999994</v>
      </c>
      <c r="M5" s="15">
        <f t="shared" ref="M5:M68" si="3">K5-L5</f>
        <v>324846.03000000003</v>
      </c>
      <c r="N5" t="s">
        <v>56</v>
      </c>
      <c r="R5" s="16"/>
      <c r="S5" s="16"/>
      <c r="U5" s="17"/>
      <c r="V5" s="15"/>
    </row>
    <row r="6" spans="1:22" x14ac:dyDescent="0.3">
      <c r="A6" s="18" t="s">
        <v>14</v>
      </c>
      <c r="B6" s="9" t="s">
        <v>15</v>
      </c>
      <c r="C6" s="19" t="s">
        <v>17</v>
      </c>
      <c r="D6" s="20">
        <v>1088</v>
      </c>
      <c r="E6" s="21">
        <v>1177</v>
      </c>
      <c r="F6" s="20">
        <v>286</v>
      </c>
      <c r="G6" s="20">
        <v>33</v>
      </c>
      <c r="H6" s="21">
        <v>500</v>
      </c>
      <c r="I6" s="13">
        <v>286</v>
      </c>
      <c r="J6" s="14">
        <f t="shared" si="0"/>
        <v>1121</v>
      </c>
      <c r="K6" s="15">
        <f t="shared" si="1"/>
        <v>336622</v>
      </c>
      <c r="L6" s="41">
        <f t="shared" si="2"/>
        <v>9760.14</v>
      </c>
      <c r="M6" s="15">
        <f t="shared" si="3"/>
        <v>326861.86</v>
      </c>
      <c r="U6" s="17"/>
      <c r="V6" s="22"/>
    </row>
    <row r="7" spans="1:22" x14ac:dyDescent="0.3">
      <c r="A7" s="8" t="s">
        <v>14</v>
      </c>
      <c r="B7" s="9" t="s">
        <v>15</v>
      </c>
      <c r="C7" s="23" t="s">
        <v>18</v>
      </c>
      <c r="D7" s="11">
        <v>1088</v>
      </c>
      <c r="E7" s="12">
        <v>997</v>
      </c>
      <c r="F7" s="11">
        <v>423</v>
      </c>
      <c r="G7" s="11">
        <v>33</v>
      </c>
      <c r="H7" s="12">
        <v>500</v>
      </c>
      <c r="I7" s="13">
        <v>423</v>
      </c>
      <c r="J7" s="14">
        <f t="shared" si="0"/>
        <v>1121</v>
      </c>
      <c r="K7" s="15">
        <f t="shared" si="1"/>
        <v>421731</v>
      </c>
      <c r="L7" s="41">
        <f t="shared" si="2"/>
        <v>0</v>
      </c>
      <c r="M7" s="15">
        <f t="shared" si="3"/>
        <v>421731</v>
      </c>
      <c r="N7" s="36"/>
      <c r="O7" t="s">
        <v>55</v>
      </c>
      <c r="U7" s="17"/>
      <c r="V7" s="22"/>
    </row>
    <row r="8" spans="1:22" x14ac:dyDescent="0.3">
      <c r="A8" s="18" t="s">
        <v>14</v>
      </c>
      <c r="B8" s="9" t="s">
        <v>19</v>
      </c>
      <c r="C8" s="10" t="s">
        <v>16</v>
      </c>
      <c r="D8" s="20">
        <v>308</v>
      </c>
      <c r="E8" s="21">
        <v>1097</v>
      </c>
      <c r="F8" s="20">
        <v>119</v>
      </c>
      <c r="G8" s="20">
        <v>8</v>
      </c>
      <c r="H8" s="21">
        <v>700</v>
      </c>
      <c r="I8" s="13">
        <v>119</v>
      </c>
      <c r="J8" s="14">
        <f t="shared" si="0"/>
        <v>316</v>
      </c>
      <c r="K8" s="15">
        <f t="shared" si="1"/>
        <v>130543</v>
      </c>
      <c r="L8" s="41">
        <f t="shared" si="2"/>
        <v>0</v>
      </c>
      <c r="M8" s="15">
        <f t="shared" si="3"/>
        <v>130543</v>
      </c>
      <c r="P8" s="14"/>
      <c r="U8" s="17"/>
      <c r="V8" s="22"/>
    </row>
    <row r="9" spans="1:22" x14ac:dyDescent="0.3">
      <c r="A9" s="8" t="s">
        <v>14</v>
      </c>
      <c r="B9" s="9" t="s">
        <v>19</v>
      </c>
      <c r="C9" s="19" t="s">
        <v>17</v>
      </c>
      <c r="D9" s="11">
        <v>308</v>
      </c>
      <c r="E9" s="12">
        <v>1438</v>
      </c>
      <c r="F9" s="11">
        <v>79</v>
      </c>
      <c r="G9" s="11">
        <v>8</v>
      </c>
      <c r="H9" s="12">
        <v>700</v>
      </c>
      <c r="I9" s="13">
        <v>79</v>
      </c>
      <c r="J9" s="14">
        <f t="shared" si="0"/>
        <v>316</v>
      </c>
      <c r="K9" s="15">
        <f t="shared" si="1"/>
        <v>113602</v>
      </c>
      <c r="L9" s="41">
        <f t="shared" si="2"/>
        <v>0</v>
      </c>
      <c r="M9" s="15">
        <f t="shared" si="3"/>
        <v>113602</v>
      </c>
      <c r="U9" s="17"/>
      <c r="V9" s="22"/>
    </row>
    <row r="10" spans="1:22" x14ac:dyDescent="0.3">
      <c r="A10" s="18" t="s">
        <v>14</v>
      </c>
      <c r="B10" s="9" t="s">
        <v>19</v>
      </c>
      <c r="C10" s="23" t="s">
        <v>18</v>
      </c>
      <c r="D10" s="20">
        <v>308</v>
      </c>
      <c r="E10" s="21">
        <v>1219</v>
      </c>
      <c r="F10" s="20">
        <v>116</v>
      </c>
      <c r="G10" s="20">
        <v>8</v>
      </c>
      <c r="H10" s="21">
        <v>700</v>
      </c>
      <c r="I10" s="13">
        <v>116</v>
      </c>
      <c r="J10" s="14">
        <f t="shared" si="0"/>
        <v>316</v>
      </c>
      <c r="K10" s="15">
        <f t="shared" si="1"/>
        <v>141404</v>
      </c>
      <c r="L10" s="41">
        <f t="shared" si="2"/>
        <v>0</v>
      </c>
      <c r="M10" s="15">
        <f t="shared" si="3"/>
        <v>141404</v>
      </c>
      <c r="O10" t="s">
        <v>52</v>
      </c>
      <c r="U10" s="17"/>
      <c r="V10" s="22"/>
    </row>
    <row r="11" spans="1:22" x14ac:dyDescent="0.3">
      <c r="A11" s="8" t="s">
        <v>14</v>
      </c>
      <c r="B11" s="24" t="s">
        <v>20</v>
      </c>
      <c r="C11" s="10" t="s">
        <v>16</v>
      </c>
      <c r="D11" s="11">
        <v>80</v>
      </c>
      <c r="E11" s="12">
        <v>5185</v>
      </c>
      <c r="F11" s="11">
        <v>27</v>
      </c>
      <c r="G11" s="11">
        <v>1</v>
      </c>
      <c r="H11" s="12">
        <v>2500</v>
      </c>
      <c r="I11" s="13">
        <v>27</v>
      </c>
      <c r="J11" s="14">
        <f t="shared" si="0"/>
        <v>81</v>
      </c>
      <c r="K11" s="15">
        <f t="shared" si="1"/>
        <v>139995</v>
      </c>
      <c r="L11" s="41">
        <f t="shared" si="2"/>
        <v>0</v>
      </c>
      <c r="M11" s="15">
        <f t="shared" si="3"/>
        <v>139995</v>
      </c>
      <c r="O11" t="s">
        <v>53</v>
      </c>
      <c r="U11" s="17"/>
      <c r="V11" s="22"/>
    </row>
    <row r="12" spans="1:22" x14ac:dyDescent="0.3">
      <c r="A12" s="18" t="s">
        <v>14</v>
      </c>
      <c r="B12" s="24" t="s">
        <v>20</v>
      </c>
      <c r="C12" s="19" t="s">
        <v>17</v>
      </c>
      <c r="D12" s="20">
        <v>80</v>
      </c>
      <c r="E12" s="21">
        <v>6799</v>
      </c>
      <c r="F12" s="20">
        <v>18</v>
      </c>
      <c r="G12" s="20">
        <v>1</v>
      </c>
      <c r="H12" s="21">
        <v>2500</v>
      </c>
      <c r="I12" s="13">
        <v>18</v>
      </c>
      <c r="J12" s="14">
        <f t="shared" si="0"/>
        <v>81</v>
      </c>
      <c r="K12" s="15">
        <f t="shared" si="1"/>
        <v>122382</v>
      </c>
      <c r="L12" s="41">
        <f t="shared" si="2"/>
        <v>0</v>
      </c>
      <c r="M12" s="15">
        <f t="shared" si="3"/>
        <v>122382</v>
      </c>
      <c r="U12" s="17"/>
      <c r="V12" s="22"/>
    </row>
    <row r="13" spans="1:22" x14ac:dyDescent="0.3">
      <c r="A13" s="8" t="s">
        <v>14</v>
      </c>
      <c r="B13" s="24" t="s">
        <v>20</v>
      </c>
      <c r="C13" s="23" t="s">
        <v>18</v>
      </c>
      <c r="D13" s="11">
        <v>80</v>
      </c>
      <c r="E13" s="12">
        <v>5762</v>
      </c>
      <c r="F13" s="11">
        <v>26</v>
      </c>
      <c r="G13" s="11">
        <v>1</v>
      </c>
      <c r="H13" s="12">
        <v>2500</v>
      </c>
      <c r="I13" s="13">
        <v>26</v>
      </c>
      <c r="J13" s="14">
        <f t="shared" si="0"/>
        <v>81</v>
      </c>
      <c r="K13" s="15">
        <f t="shared" si="1"/>
        <v>149812</v>
      </c>
      <c r="L13" s="41">
        <f t="shared" si="2"/>
        <v>0</v>
      </c>
      <c r="M13" s="15">
        <f t="shared" si="3"/>
        <v>149812</v>
      </c>
      <c r="O13" t="s">
        <v>54</v>
      </c>
      <c r="U13" s="17"/>
      <c r="V13" s="22"/>
    </row>
    <row r="14" spans="1:22" x14ac:dyDescent="0.3">
      <c r="A14" s="18" t="s">
        <v>14</v>
      </c>
      <c r="B14" s="25" t="s">
        <v>21</v>
      </c>
      <c r="C14" s="10" t="s">
        <v>16</v>
      </c>
      <c r="D14" s="20">
        <v>374</v>
      </c>
      <c r="E14" s="21">
        <v>519</v>
      </c>
      <c r="F14" s="20">
        <v>146</v>
      </c>
      <c r="G14" s="20">
        <v>11</v>
      </c>
      <c r="H14" s="21">
        <v>250</v>
      </c>
      <c r="I14" s="13">
        <v>135</v>
      </c>
      <c r="J14" s="14">
        <f t="shared" si="0"/>
        <v>385</v>
      </c>
      <c r="K14" s="15">
        <f t="shared" si="1"/>
        <v>70065</v>
      </c>
      <c r="L14" s="41">
        <f t="shared" si="2"/>
        <v>7459.2999999999993</v>
      </c>
      <c r="M14" s="15">
        <f t="shared" si="3"/>
        <v>62605.7</v>
      </c>
      <c r="U14" s="17"/>
      <c r="V14" s="22"/>
    </row>
    <row r="15" spans="1:22" x14ac:dyDescent="0.3">
      <c r="A15" s="8" t="s">
        <v>14</v>
      </c>
      <c r="B15" s="25" t="s">
        <v>21</v>
      </c>
      <c r="C15" s="19" t="s">
        <v>17</v>
      </c>
      <c r="D15" s="11">
        <v>374</v>
      </c>
      <c r="E15" s="12">
        <v>680</v>
      </c>
      <c r="F15" s="11">
        <v>96</v>
      </c>
      <c r="G15" s="11">
        <v>11</v>
      </c>
      <c r="H15" s="12">
        <v>250</v>
      </c>
      <c r="I15" s="13">
        <v>96</v>
      </c>
      <c r="J15" s="14">
        <f t="shared" si="0"/>
        <v>385</v>
      </c>
      <c r="K15" s="15">
        <f t="shared" si="1"/>
        <v>65280</v>
      </c>
      <c r="L15" s="41">
        <f t="shared" si="2"/>
        <v>0</v>
      </c>
      <c r="M15" s="15">
        <f t="shared" si="3"/>
        <v>65280</v>
      </c>
      <c r="U15" s="17"/>
      <c r="V15" s="22"/>
    </row>
    <row r="16" spans="1:22" x14ac:dyDescent="0.3">
      <c r="A16" s="18" t="s">
        <v>14</v>
      </c>
      <c r="B16" s="25" t="s">
        <v>21</v>
      </c>
      <c r="C16" s="23" t="s">
        <v>18</v>
      </c>
      <c r="D16" s="20">
        <v>374</v>
      </c>
      <c r="E16" s="21">
        <v>576</v>
      </c>
      <c r="F16" s="20">
        <v>143</v>
      </c>
      <c r="G16" s="20">
        <v>11</v>
      </c>
      <c r="H16" s="21">
        <v>250</v>
      </c>
      <c r="I16" s="13">
        <v>143</v>
      </c>
      <c r="J16" s="14">
        <f t="shared" si="0"/>
        <v>385</v>
      </c>
      <c r="K16" s="15">
        <f t="shared" si="1"/>
        <v>82368</v>
      </c>
      <c r="L16" s="41">
        <f t="shared" si="2"/>
        <v>0</v>
      </c>
      <c r="M16" s="15">
        <f t="shared" si="3"/>
        <v>82368</v>
      </c>
      <c r="U16" s="17"/>
      <c r="V16" s="22"/>
    </row>
    <row r="17" spans="1:22" x14ac:dyDescent="0.3">
      <c r="A17" s="8" t="s">
        <v>14</v>
      </c>
      <c r="B17" s="25" t="s">
        <v>22</v>
      </c>
      <c r="C17" s="10" t="s">
        <v>16</v>
      </c>
      <c r="D17" s="11">
        <v>111</v>
      </c>
      <c r="E17" s="12">
        <v>698</v>
      </c>
      <c r="F17" s="11">
        <v>40</v>
      </c>
      <c r="G17" s="11">
        <v>3</v>
      </c>
      <c r="H17" s="12">
        <v>350</v>
      </c>
      <c r="I17" s="13">
        <v>40</v>
      </c>
      <c r="J17" s="14">
        <f t="shared" si="0"/>
        <v>114</v>
      </c>
      <c r="K17" s="15">
        <f t="shared" si="1"/>
        <v>27920</v>
      </c>
      <c r="L17" s="41">
        <f t="shared" si="2"/>
        <v>11182.16</v>
      </c>
      <c r="M17" s="15">
        <f t="shared" si="3"/>
        <v>16737.84</v>
      </c>
      <c r="U17" s="17"/>
      <c r="V17" s="22"/>
    </row>
    <row r="18" spans="1:22" x14ac:dyDescent="0.3">
      <c r="A18" s="18" t="s">
        <v>14</v>
      </c>
      <c r="B18" s="25" t="s">
        <v>22</v>
      </c>
      <c r="C18" s="19" t="s">
        <v>17</v>
      </c>
      <c r="D18" s="20">
        <v>111</v>
      </c>
      <c r="E18" s="21">
        <v>915</v>
      </c>
      <c r="F18" s="20">
        <v>27</v>
      </c>
      <c r="G18" s="20">
        <v>3</v>
      </c>
      <c r="H18" s="21">
        <v>350</v>
      </c>
      <c r="I18" s="13">
        <v>27</v>
      </c>
      <c r="J18" s="14">
        <f t="shared" si="0"/>
        <v>114</v>
      </c>
      <c r="K18" s="15">
        <f t="shared" si="1"/>
        <v>24705</v>
      </c>
      <c r="L18" s="41">
        <f t="shared" si="2"/>
        <v>3681.1499999999996</v>
      </c>
      <c r="M18" s="15">
        <f t="shared" si="3"/>
        <v>21023.85</v>
      </c>
      <c r="U18" s="17"/>
      <c r="V18" s="22"/>
    </row>
    <row r="19" spans="1:22" x14ac:dyDescent="0.3">
      <c r="A19" s="8" t="s">
        <v>14</v>
      </c>
      <c r="B19" s="25" t="s">
        <v>22</v>
      </c>
      <c r="C19" s="23" t="s">
        <v>18</v>
      </c>
      <c r="D19" s="11">
        <v>111</v>
      </c>
      <c r="E19" s="12">
        <v>776</v>
      </c>
      <c r="F19" s="11">
        <v>39</v>
      </c>
      <c r="G19" s="11">
        <v>3</v>
      </c>
      <c r="H19" s="12">
        <v>350</v>
      </c>
      <c r="I19" s="13">
        <v>39</v>
      </c>
      <c r="J19" s="14">
        <f t="shared" si="0"/>
        <v>114</v>
      </c>
      <c r="K19" s="15">
        <f t="shared" si="1"/>
        <v>30264</v>
      </c>
      <c r="L19" s="41">
        <f t="shared" si="2"/>
        <v>0</v>
      </c>
      <c r="M19" s="15">
        <f t="shared" si="3"/>
        <v>30264</v>
      </c>
      <c r="U19" s="17"/>
      <c r="V19" s="22"/>
    </row>
    <row r="20" spans="1:22" x14ac:dyDescent="0.3">
      <c r="A20" s="18" t="s">
        <v>14</v>
      </c>
      <c r="B20" s="26" t="s">
        <v>23</v>
      </c>
      <c r="C20" s="10" t="s">
        <v>16</v>
      </c>
      <c r="D20" s="20">
        <v>82</v>
      </c>
      <c r="E20" s="21">
        <v>558</v>
      </c>
      <c r="F20" s="20">
        <v>28</v>
      </c>
      <c r="G20" s="20">
        <v>2</v>
      </c>
      <c r="H20" s="21">
        <v>220</v>
      </c>
      <c r="I20" s="13">
        <v>28</v>
      </c>
      <c r="J20" s="14">
        <f t="shared" si="0"/>
        <v>84</v>
      </c>
      <c r="K20" s="15">
        <f t="shared" si="1"/>
        <v>15624</v>
      </c>
      <c r="L20" s="41">
        <f t="shared" si="2"/>
        <v>9055.92</v>
      </c>
      <c r="M20" s="15">
        <f t="shared" si="3"/>
        <v>6568.08</v>
      </c>
      <c r="U20" s="17"/>
      <c r="V20" s="22"/>
    </row>
    <row r="21" spans="1:22" x14ac:dyDescent="0.3">
      <c r="A21" s="8" t="s">
        <v>14</v>
      </c>
      <c r="B21" s="26" t="s">
        <v>23</v>
      </c>
      <c r="C21" s="19" t="s">
        <v>17</v>
      </c>
      <c r="D21" s="11">
        <v>82</v>
      </c>
      <c r="E21" s="12">
        <v>732</v>
      </c>
      <c r="F21" s="11">
        <v>18</v>
      </c>
      <c r="G21" s="11">
        <v>2</v>
      </c>
      <c r="H21" s="12">
        <v>220</v>
      </c>
      <c r="I21" s="13">
        <v>18</v>
      </c>
      <c r="J21" s="14">
        <f t="shared" si="0"/>
        <v>84</v>
      </c>
      <c r="K21" s="15">
        <f t="shared" si="1"/>
        <v>13176</v>
      </c>
      <c r="L21" s="41">
        <f t="shared" si="2"/>
        <v>0</v>
      </c>
      <c r="M21" s="15">
        <f t="shared" si="3"/>
        <v>13176</v>
      </c>
      <c r="O21" s="14"/>
      <c r="Q21" s="14"/>
      <c r="U21" s="17"/>
      <c r="V21" s="22"/>
    </row>
    <row r="22" spans="1:22" x14ac:dyDescent="0.3">
      <c r="A22" s="18" t="s">
        <v>14</v>
      </c>
      <c r="B22" s="26" t="s">
        <v>23</v>
      </c>
      <c r="C22" s="23" t="s">
        <v>18</v>
      </c>
      <c r="D22" s="20">
        <v>82</v>
      </c>
      <c r="E22" s="21">
        <v>620</v>
      </c>
      <c r="F22" s="20">
        <v>27</v>
      </c>
      <c r="G22" s="20">
        <v>2</v>
      </c>
      <c r="H22" s="21">
        <v>220</v>
      </c>
      <c r="I22" s="13">
        <v>27</v>
      </c>
      <c r="J22" s="14">
        <f t="shared" si="0"/>
        <v>84</v>
      </c>
      <c r="K22" s="15">
        <f t="shared" si="1"/>
        <v>16740</v>
      </c>
      <c r="L22" s="41">
        <f t="shared" si="2"/>
        <v>0</v>
      </c>
      <c r="M22" s="15">
        <f t="shared" si="3"/>
        <v>16740</v>
      </c>
      <c r="O22" s="14"/>
      <c r="Q22" s="14"/>
      <c r="U22" s="17"/>
      <c r="V22" s="22"/>
    </row>
    <row r="23" spans="1:22" x14ac:dyDescent="0.3">
      <c r="A23" s="8" t="s">
        <v>24</v>
      </c>
      <c r="B23" s="9" t="s">
        <v>15</v>
      </c>
      <c r="C23" s="10" t="s">
        <v>16</v>
      </c>
      <c r="D23" s="11">
        <v>1048</v>
      </c>
      <c r="E23" s="12">
        <v>893</v>
      </c>
      <c r="F23" s="11">
        <v>418</v>
      </c>
      <c r="G23" s="11">
        <v>31</v>
      </c>
      <c r="H23" s="12">
        <v>500</v>
      </c>
      <c r="I23" s="13">
        <v>366</v>
      </c>
      <c r="J23" s="14">
        <f t="shared" si="0"/>
        <v>1079</v>
      </c>
      <c r="K23" s="15">
        <f t="shared" si="1"/>
        <v>326838</v>
      </c>
      <c r="L23" s="41">
        <f t="shared" si="2"/>
        <v>37833.880000000005</v>
      </c>
      <c r="M23" s="15">
        <f t="shared" si="3"/>
        <v>289004.12</v>
      </c>
      <c r="U23" s="17"/>
      <c r="V23" s="22"/>
    </row>
    <row r="24" spans="1:22" x14ac:dyDescent="0.3">
      <c r="A24" s="18" t="s">
        <v>24</v>
      </c>
      <c r="B24" s="9" t="s">
        <v>15</v>
      </c>
      <c r="C24" s="19" t="s">
        <v>17</v>
      </c>
      <c r="D24" s="20">
        <v>1048</v>
      </c>
      <c r="E24" s="21">
        <v>1170</v>
      </c>
      <c r="F24" s="20">
        <v>275</v>
      </c>
      <c r="G24" s="20">
        <v>31</v>
      </c>
      <c r="H24" s="21">
        <v>500</v>
      </c>
      <c r="I24" s="13">
        <v>275</v>
      </c>
      <c r="J24" s="14">
        <f t="shared" si="0"/>
        <v>1079</v>
      </c>
      <c r="K24" s="15">
        <f t="shared" si="1"/>
        <v>321750</v>
      </c>
      <c r="L24" s="41">
        <f t="shared" si="2"/>
        <v>1619.8999999999999</v>
      </c>
      <c r="M24" s="15">
        <f t="shared" si="3"/>
        <v>320130.09999999998</v>
      </c>
      <c r="U24" s="17"/>
      <c r="V24" s="22"/>
    </row>
    <row r="25" spans="1:22" x14ac:dyDescent="0.3">
      <c r="A25" s="8" t="s">
        <v>24</v>
      </c>
      <c r="B25" s="9" t="s">
        <v>15</v>
      </c>
      <c r="C25" s="23" t="s">
        <v>18</v>
      </c>
      <c r="D25" s="11">
        <v>1048</v>
      </c>
      <c r="E25" s="12">
        <v>992</v>
      </c>
      <c r="F25" s="11">
        <v>407</v>
      </c>
      <c r="G25" s="11">
        <v>31</v>
      </c>
      <c r="H25" s="12">
        <v>500</v>
      </c>
      <c r="I25" s="13">
        <v>407</v>
      </c>
      <c r="J25" s="14">
        <f t="shared" si="0"/>
        <v>1079</v>
      </c>
      <c r="K25" s="15">
        <f t="shared" si="1"/>
        <v>403744</v>
      </c>
      <c r="L25" s="41">
        <f t="shared" si="2"/>
        <v>0</v>
      </c>
      <c r="M25" s="15">
        <f t="shared" si="3"/>
        <v>403744</v>
      </c>
      <c r="U25" s="17"/>
      <c r="V25" s="22"/>
    </row>
    <row r="26" spans="1:22" x14ac:dyDescent="0.3">
      <c r="A26" s="18" t="s">
        <v>24</v>
      </c>
      <c r="B26" s="9" t="s">
        <v>19</v>
      </c>
      <c r="C26" s="10" t="s">
        <v>16</v>
      </c>
      <c r="D26" s="20">
        <v>260</v>
      </c>
      <c r="E26" s="21">
        <v>1091</v>
      </c>
      <c r="F26" s="20">
        <v>101</v>
      </c>
      <c r="G26" s="20">
        <v>6</v>
      </c>
      <c r="H26" s="21">
        <v>700</v>
      </c>
      <c r="I26" s="13">
        <v>96</v>
      </c>
      <c r="J26" s="14">
        <f t="shared" si="0"/>
        <v>266</v>
      </c>
      <c r="K26" s="15">
        <f t="shared" si="1"/>
        <v>104736</v>
      </c>
      <c r="L26" s="41">
        <f t="shared" si="2"/>
        <v>0</v>
      </c>
      <c r="M26" s="15">
        <f t="shared" si="3"/>
        <v>104736</v>
      </c>
      <c r="U26" s="17"/>
      <c r="V26" s="22"/>
    </row>
    <row r="27" spans="1:22" x14ac:dyDescent="0.3">
      <c r="A27" s="8" t="s">
        <v>24</v>
      </c>
      <c r="B27" s="9" t="s">
        <v>19</v>
      </c>
      <c r="C27" s="19" t="s">
        <v>17</v>
      </c>
      <c r="D27" s="11">
        <v>260</v>
      </c>
      <c r="E27" s="12">
        <v>1430</v>
      </c>
      <c r="F27" s="11">
        <v>66</v>
      </c>
      <c r="G27" s="11">
        <v>6</v>
      </c>
      <c r="H27" s="12">
        <v>700</v>
      </c>
      <c r="I27" s="13">
        <v>66</v>
      </c>
      <c r="J27" s="14">
        <f t="shared" si="0"/>
        <v>266</v>
      </c>
      <c r="K27" s="15">
        <f t="shared" si="1"/>
        <v>94380</v>
      </c>
      <c r="L27" s="41">
        <f t="shared" si="2"/>
        <v>0</v>
      </c>
      <c r="M27" s="15">
        <f t="shared" si="3"/>
        <v>94380</v>
      </c>
      <c r="U27" s="17"/>
      <c r="V27" s="22"/>
    </row>
    <row r="28" spans="1:22" x14ac:dyDescent="0.3">
      <c r="A28" s="18" t="s">
        <v>24</v>
      </c>
      <c r="B28" s="9" t="s">
        <v>19</v>
      </c>
      <c r="C28" s="23" t="s">
        <v>18</v>
      </c>
      <c r="D28" s="20">
        <v>260</v>
      </c>
      <c r="E28" s="21">
        <v>1212</v>
      </c>
      <c r="F28" s="20">
        <v>98</v>
      </c>
      <c r="G28" s="20">
        <v>6</v>
      </c>
      <c r="H28" s="21">
        <v>700</v>
      </c>
      <c r="I28" s="13">
        <v>98</v>
      </c>
      <c r="J28" s="14">
        <f t="shared" si="0"/>
        <v>266</v>
      </c>
      <c r="K28" s="15">
        <f t="shared" si="1"/>
        <v>118776</v>
      </c>
      <c r="L28" s="41">
        <f t="shared" si="2"/>
        <v>0</v>
      </c>
      <c r="M28" s="15">
        <f t="shared" si="3"/>
        <v>118776</v>
      </c>
      <c r="U28" s="17"/>
      <c r="V28" s="22"/>
    </row>
    <row r="29" spans="1:22" x14ac:dyDescent="0.3">
      <c r="A29" s="8" t="s">
        <v>24</v>
      </c>
      <c r="B29" s="24" t="s">
        <v>20</v>
      </c>
      <c r="C29" s="10" t="s">
        <v>16</v>
      </c>
      <c r="D29" s="11">
        <v>118</v>
      </c>
      <c r="E29" s="12">
        <v>5157</v>
      </c>
      <c r="F29" s="11">
        <v>39</v>
      </c>
      <c r="G29" s="11">
        <v>1</v>
      </c>
      <c r="H29" s="12">
        <v>2500</v>
      </c>
      <c r="I29" s="13">
        <v>39</v>
      </c>
      <c r="J29" s="14">
        <f t="shared" si="0"/>
        <v>119</v>
      </c>
      <c r="K29" s="15">
        <f t="shared" si="1"/>
        <v>201123</v>
      </c>
      <c r="L29" s="41">
        <f t="shared" si="2"/>
        <v>0</v>
      </c>
      <c r="M29" s="15">
        <f t="shared" si="3"/>
        <v>201123</v>
      </c>
      <c r="U29" s="17"/>
      <c r="V29" s="22"/>
    </row>
    <row r="30" spans="1:22" x14ac:dyDescent="0.3">
      <c r="A30" s="18" t="s">
        <v>24</v>
      </c>
      <c r="B30" s="24" t="s">
        <v>20</v>
      </c>
      <c r="C30" s="19" t="s">
        <v>17</v>
      </c>
      <c r="D30" s="20">
        <v>118</v>
      </c>
      <c r="E30" s="21">
        <v>6762</v>
      </c>
      <c r="F30" s="20">
        <v>26</v>
      </c>
      <c r="G30" s="20">
        <v>1</v>
      </c>
      <c r="H30" s="21">
        <v>2500</v>
      </c>
      <c r="I30" s="13">
        <v>26</v>
      </c>
      <c r="J30" s="14">
        <f t="shared" si="0"/>
        <v>119</v>
      </c>
      <c r="K30" s="15">
        <f t="shared" si="1"/>
        <v>175812</v>
      </c>
      <c r="L30" s="41">
        <f t="shared" si="2"/>
        <v>0</v>
      </c>
      <c r="M30" s="15">
        <f t="shared" si="3"/>
        <v>175812</v>
      </c>
      <c r="U30" s="17"/>
      <c r="V30" s="22"/>
    </row>
    <row r="31" spans="1:22" x14ac:dyDescent="0.3">
      <c r="A31" s="8" t="s">
        <v>24</v>
      </c>
      <c r="B31" s="24" t="s">
        <v>20</v>
      </c>
      <c r="C31" s="23" t="s">
        <v>18</v>
      </c>
      <c r="D31" s="11">
        <v>118</v>
      </c>
      <c r="E31" s="12">
        <v>5730</v>
      </c>
      <c r="F31" s="11">
        <v>38</v>
      </c>
      <c r="G31" s="11">
        <v>1</v>
      </c>
      <c r="H31" s="12">
        <v>2500</v>
      </c>
      <c r="I31" s="13">
        <v>38</v>
      </c>
      <c r="J31" s="14">
        <f t="shared" si="0"/>
        <v>119</v>
      </c>
      <c r="K31" s="15">
        <f t="shared" si="1"/>
        <v>217740</v>
      </c>
      <c r="L31" s="41">
        <f t="shared" si="2"/>
        <v>0</v>
      </c>
      <c r="M31" s="15">
        <f t="shared" si="3"/>
        <v>217740</v>
      </c>
      <c r="U31" s="17"/>
      <c r="V31" s="22"/>
    </row>
    <row r="32" spans="1:22" x14ac:dyDescent="0.3">
      <c r="A32" s="18" t="s">
        <v>24</v>
      </c>
      <c r="B32" s="25" t="s">
        <v>21</v>
      </c>
      <c r="C32" s="10" t="s">
        <v>16</v>
      </c>
      <c r="D32" s="20">
        <v>330</v>
      </c>
      <c r="E32" s="21">
        <v>516</v>
      </c>
      <c r="F32" s="20">
        <v>129</v>
      </c>
      <c r="G32" s="20">
        <v>10</v>
      </c>
      <c r="H32" s="21">
        <v>250</v>
      </c>
      <c r="I32" s="13">
        <v>129</v>
      </c>
      <c r="J32" s="14">
        <f t="shared" si="0"/>
        <v>340</v>
      </c>
      <c r="K32" s="15">
        <f t="shared" si="1"/>
        <v>66564</v>
      </c>
      <c r="L32" s="41">
        <f t="shared" si="2"/>
        <v>0</v>
      </c>
      <c r="M32" s="15">
        <f t="shared" si="3"/>
        <v>66564</v>
      </c>
      <c r="U32" s="17"/>
      <c r="V32" s="22"/>
    </row>
    <row r="33" spans="1:22" x14ac:dyDescent="0.3">
      <c r="A33" s="8" t="s">
        <v>24</v>
      </c>
      <c r="B33" s="25" t="s">
        <v>21</v>
      </c>
      <c r="C33" s="19" t="s">
        <v>17</v>
      </c>
      <c r="D33" s="11">
        <v>330</v>
      </c>
      <c r="E33" s="12">
        <v>676</v>
      </c>
      <c r="F33" s="11">
        <v>85</v>
      </c>
      <c r="G33" s="11">
        <v>10</v>
      </c>
      <c r="H33" s="12">
        <v>250</v>
      </c>
      <c r="I33" s="13">
        <v>85</v>
      </c>
      <c r="J33" s="14">
        <f t="shared" si="0"/>
        <v>340</v>
      </c>
      <c r="K33" s="15">
        <f t="shared" si="1"/>
        <v>57460</v>
      </c>
      <c r="L33" s="41">
        <f t="shared" si="2"/>
        <v>10778.64</v>
      </c>
      <c r="M33" s="15">
        <f t="shared" si="3"/>
        <v>46681.36</v>
      </c>
      <c r="U33" s="17"/>
      <c r="V33" s="22"/>
    </row>
    <row r="34" spans="1:22" x14ac:dyDescent="0.3">
      <c r="A34" s="18" t="s">
        <v>24</v>
      </c>
      <c r="B34" s="25" t="s">
        <v>21</v>
      </c>
      <c r="C34" s="23" t="s">
        <v>18</v>
      </c>
      <c r="D34" s="20">
        <v>330</v>
      </c>
      <c r="E34" s="21">
        <v>573</v>
      </c>
      <c r="F34" s="20">
        <v>126</v>
      </c>
      <c r="G34" s="20">
        <v>10</v>
      </c>
      <c r="H34" s="21">
        <v>250</v>
      </c>
      <c r="I34" s="13">
        <v>126</v>
      </c>
      <c r="J34" s="14">
        <f t="shared" si="0"/>
        <v>340</v>
      </c>
      <c r="K34" s="15">
        <f t="shared" si="1"/>
        <v>72198</v>
      </c>
      <c r="L34" s="41">
        <f t="shared" si="2"/>
        <v>0</v>
      </c>
      <c r="M34" s="15">
        <f t="shared" si="3"/>
        <v>72198</v>
      </c>
      <c r="U34" s="17"/>
      <c r="V34" s="22"/>
    </row>
    <row r="35" spans="1:22" x14ac:dyDescent="0.3">
      <c r="A35" s="8" t="s">
        <v>24</v>
      </c>
      <c r="B35" s="25" t="s">
        <v>22</v>
      </c>
      <c r="C35" s="10" t="s">
        <v>16</v>
      </c>
      <c r="D35" s="11">
        <v>111</v>
      </c>
      <c r="E35" s="12">
        <v>694</v>
      </c>
      <c r="F35" s="11">
        <v>40</v>
      </c>
      <c r="G35" s="11">
        <v>3</v>
      </c>
      <c r="H35" s="12">
        <v>350</v>
      </c>
      <c r="I35" s="13">
        <v>40</v>
      </c>
      <c r="J35" s="14">
        <f t="shared" si="0"/>
        <v>114</v>
      </c>
      <c r="K35" s="15">
        <f t="shared" si="1"/>
        <v>27760</v>
      </c>
      <c r="L35" s="41">
        <f t="shared" si="2"/>
        <v>0</v>
      </c>
      <c r="M35" s="15">
        <f t="shared" si="3"/>
        <v>27760</v>
      </c>
      <c r="U35" s="17"/>
      <c r="V35" s="22"/>
    </row>
    <row r="36" spans="1:22" x14ac:dyDescent="0.3">
      <c r="A36" s="18" t="s">
        <v>24</v>
      </c>
      <c r="B36" s="25" t="s">
        <v>22</v>
      </c>
      <c r="C36" s="19" t="s">
        <v>17</v>
      </c>
      <c r="D36" s="20">
        <v>111</v>
      </c>
      <c r="E36" s="21">
        <v>910</v>
      </c>
      <c r="F36" s="20">
        <v>27</v>
      </c>
      <c r="G36" s="20">
        <v>3</v>
      </c>
      <c r="H36" s="21">
        <v>350</v>
      </c>
      <c r="I36" s="13">
        <v>27</v>
      </c>
      <c r="J36" s="14">
        <f t="shared" si="0"/>
        <v>114</v>
      </c>
      <c r="K36" s="15">
        <f t="shared" si="1"/>
        <v>24570</v>
      </c>
      <c r="L36" s="41">
        <f t="shared" si="2"/>
        <v>8555.4</v>
      </c>
      <c r="M36" s="15">
        <f t="shared" si="3"/>
        <v>16014.6</v>
      </c>
      <c r="U36" s="17"/>
      <c r="V36" s="22"/>
    </row>
    <row r="37" spans="1:22" x14ac:dyDescent="0.3">
      <c r="A37" s="8" t="s">
        <v>24</v>
      </c>
      <c r="B37" s="25" t="s">
        <v>22</v>
      </c>
      <c r="C37" s="23" t="s">
        <v>18</v>
      </c>
      <c r="D37" s="11">
        <v>111</v>
      </c>
      <c r="E37" s="12">
        <v>771</v>
      </c>
      <c r="F37" s="11">
        <v>39</v>
      </c>
      <c r="G37" s="11">
        <v>3</v>
      </c>
      <c r="H37" s="12">
        <v>350</v>
      </c>
      <c r="I37" s="13">
        <v>39</v>
      </c>
      <c r="J37" s="14">
        <f t="shared" si="0"/>
        <v>114</v>
      </c>
      <c r="K37" s="15">
        <f t="shared" si="1"/>
        <v>30069</v>
      </c>
      <c r="L37" s="41">
        <f t="shared" ref="L37:L68" si="4">(1-$Q$2)*(E37+H37)*I383</f>
        <v>0</v>
      </c>
      <c r="M37" s="15">
        <f t="shared" si="3"/>
        <v>30069</v>
      </c>
      <c r="U37" s="17"/>
      <c r="V37" s="22"/>
    </row>
    <row r="38" spans="1:22" x14ac:dyDescent="0.3">
      <c r="A38" s="18" t="s">
        <v>24</v>
      </c>
      <c r="B38" s="24" t="s">
        <v>25</v>
      </c>
      <c r="C38" s="10" t="s">
        <v>16</v>
      </c>
      <c r="D38" s="20">
        <v>59</v>
      </c>
      <c r="E38" s="21">
        <v>2777</v>
      </c>
      <c r="F38" s="20">
        <v>21</v>
      </c>
      <c r="G38" s="20">
        <v>1</v>
      </c>
      <c r="H38" s="21">
        <v>1300</v>
      </c>
      <c r="I38" s="13">
        <v>21</v>
      </c>
      <c r="J38" s="14">
        <f t="shared" si="0"/>
        <v>60</v>
      </c>
      <c r="K38" s="15">
        <f t="shared" si="1"/>
        <v>58317</v>
      </c>
      <c r="L38" s="41">
        <f t="shared" si="4"/>
        <v>0</v>
      </c>
      <c r="M38" s="15">
        <f t="shared" si="3"/>
        <v>58317</v>
      </c>
      <c r="U38" s="17"/>
      <c r="V38" s="22"/>
    </row>
    <row r="39" spans="1:22" x14ac:dyDescent="0.3">
      <c r="A39" s="8" t="s">
        <v>24</v>
      </c>
      <c r="B39" s="24" t="s">
        <v>25</v>
      </c>
      <c r="C39" s="19" t="s">
        <v>17</v>
      </c>
      <c r="D39" s="11">
        <v>59</v>
      </c>
      <c r="E39" s="12">
        <v>3641</v>
      </c>
      <c r="F39" s="11">
        <v>14</v>
      </c>
      <c r="G39" s="11">
        <v>1</v>
      </c>
      <c r="H39" s="12">
        <v>1300</v>
      </c>
      <c r="I39" s="13">
        <v>14</v>
      </c>
      <c r="J39" s="14">
        <f t="shared" si="0"/>
        <v>60</v>
      </c>
      <c r="K39" s="15">
        <f t="shared" si="1"/>
        <v>50974</v>
      </c>
      <c r="L39" s="41">
        <f t="shared" si="4"/>
        <v>0</v>
      </c>
      <c r="M39" s="15">
        <f t="shared" si="3"/>
        <v>50974</v>
      </c>
      <c r="U39" s="17"/>
      <c r="V39" s="22"/>
    </row>
    <row r="40" spans="1:22" x14ac:dyDescent="0.3">
      <c r="A40" s="18" t="s">
        <v>24</v>
      </c>
      <c r="B40" s="24" t="s">
        <v>25</v>
      </c>
      <c r="C40" s="23" t="s">
        <v>18</v>
      </c>
      <c r="D40" s="20">
        <v>59</v>
      </c>
      <c r="E40" s="21">
        <v>3086</v>
      </c>
      <c r="F40" s="20">
        <v>20</v>
      </c>
      <c r="G40" s="20">
        <v>1</v>
      </c>
      <c r="H40" s="21">
        <v>1300</v>
      </c>
      <c r="I40" s="13">
        <v>20</v>
      </c>
      <c r="J40" s="14">
        <f t="shared" si="0"/>
        <v>60</v>
      </c>
      <c r="K40" s="15">
        <f t="shared" si="1"/>
        <v>61720</v>
      </c>
      <c r="L40" s="41">
        <f t="shared" si="4"/>
        <v>0</v>
      </c>
      <c r="M40" s="15">
        <f t="shared" si="3"/>
        <v>61720</v>
      </c>
      <c r="U40" s="17"/>
      <c r="V40" s="22"/>
    </row>
    <row r="41" spans="1:22" x14ac:dyDescent="0.3">
      <c r="A41" s="8" t="s">
        <v>26</v>
      </c>
      <c r="B41" s="9" t="s">
        <v>15</v>
      </c>
      <c r="C41" s="10" t="s">
        <v>16</v>
      </c>
      <c r="D41" s="11">
        <v>360</v>
      </c>
      <c r="E41" s="12">
        <v>834</v>
      </c>
      <c r="F41" s="11">
        <v>144</v>
      </c>
      <c r="G41" s="11">
        <v>11</v>
      </c>
      <c r="H41" s="12">
        <v>500</v>
      </c>
      <c r="I41" s="13">
        <v>137</v>
      </c>
      <c r="J41" s="14">
        <f t="shared" si="0"/>
        <v>371</v>
      </c>
      <c r="K41" s="15">
        <f t="shared" si="1"/>
        <v>114258</v>
      </c>
      <c r="L41" s="41">
        <f t="shared" si="4"/>
        <v>0</v>
      </c>
      <c r="M41" s="15">
        <f t="shared" si="3"/>
        <v>114258</v>
      </c>
      <c r="U41" s="17"/>
      <c r="V41" s="22"/>
    </row>
    <row r="42" spans="1:22" x14ac:dyDescent="0.3">
      <c r="A42" s="18" t="s">
        <v>26</v>
      </c>
      <c r="B42" s="9" t="s">
        <v>15</v>
      </c>
      <c r="C42" s="19" t="s">
        <v>17</v>
      </c>
      <c r="D42" s="20">
        <v>360</v>
      </c>
      <c r="E42" s="21">
        <v>1094</v>
      </c>
      <c r="F42" s="20">
        <v>94</v>
      </c>
      <c r="G42" s="20">
        <v>11</v>
      </c>
      <c r="H42" s="21">
        <v>500</v>
      </c>
      <c r="I42" s="13">
        <v>94</v>
      </c>
      <c r="J42" s="14">
        <f t="shared" si="0"/>
        <v>371</v>
      </c>
      <c r="K42" s="15">
        <f t="shared" si="1"/>
        <v>102836</v>
      </c>
      <c r="L42" s="41">
        <f t="shared" si="4"/>
        <v>0</v>
      </c>
      <c r="M42" s="15">
        <f t="shared" si="3"/>
        <v>102836</v>
      </c>
      <c r="U42" s="17"/>
      <c r="V42" s="22"/>
    </row>
    <row r="43" spans="1:22" x14ac:dyDescent="0.3">
      <c r="A43" s="8" t="s">
        <v>26</v>
      </c>
      <c r="B43" s="9" t="s">
        <v>15</v>
      </c>
      <c r="C43" s="23" t="s">
        <v>18</v>
      </c>
      <c r="D43" s="11">
        <v>360</v>
      </c>
      <c r="E43" s="12">
        <v>927</v>
      </c>
      <c r="F43" s="11">
        <v>140</v>
      </c>
      <c r="G43" s="11">
        <v>11</v>
      </c>
      <c r="H43" s="12">
        <v>500</v>
      </c>
      <c r="I43" s="13">
        <v>140</v>
      </c>
      <c r="J43" s="14">
        <f t="shared" si="0"/>
        <v>371</v>
      </c>
      <c r="K43" s="15">
        <f t="shared" si="1"/>
        <v>129780</v>
      </c>
      <c r="L43" s="41">
        <f t="shared" si="4"/>
        <v>0</v>
      </c>
      <c r="M43" s="15">
        <f t="shared" si="3"/>
        <v>129780</v>
      </c>
      <c r="U43" s="17"/>
      <c r="V43" s="22"/>
    </row>
    <row r="44" spans="1:22" x14ac:dyDescent="0.3">
      <c r="A44" s="18" t="s">
        <v>26</v>
      </c>
      <c r="B44" s="9" t="s">
        <v>19</v>
      </c>
      <c r="C44" s="10" t="s">
        <v>16</v>
      </c>
      <c r="D44" s="20">
        <v>134</v>
      </c>
      <c r="E44" s="21">
        <v>1020</v>
      </c>
      <c r="F44" s="20">
        <v>52</v>
      </c>
      <c r="G44" s="20">
        <v>3</v>
      </c>
      <c r="H44" s="21">
        <v>700</v>
      </c>
      <c r="I44" s="13">
        <v>52</v>
      </c>
      <c r="J44" s="14">
        <f t="shared" si="0"/>
        <v>137</v>
      </c>
      <c r="K44" s="15">
        <f t="shared" si="1"/>
        <v>53040</v>
      </c>
      <c r="L44" s="41">
        <f t="shared" si="4"/>
        <v>0</v>
      </c>
      <c r="M44" s="15">
        <f t="shared" si="3"/>
        <v>53040</v>
      </c>
      <c r="U44" s="17"/>
      <c r="V44" s="22"/>
    </row>
    <row r="45" spans="1:22" x14ac:dyDescent="0.3">
      <c r="A45" s="8" t="s">
        <v>26</v>
      </c>
      <c r="B45" s="9" t="s">
        <v>19</v>
      </c>
      <c r="C45" s="19" t="s">
        <v>17</v>
      </c>
      <c r="D45" s="11">
        <v>134</v>
      </c>
      <c r="E45" s="12">
        <v>1337</v>
      </c>
      <c r="F45" s="11">
        <v>34</v>
      </c>
      <c r="G45" s="11">
        <v>3</v>
      </c>
      <c r="H45" s="12">
        <v>700</v>
      </c>
      <c r="I45" s="13">
        <v>34</v>
      </c>
      <c r="J45" s="14">
        <f t="shared" si="0"/>
        <v>137</v>
      </c>
      <c r="K45" s="15">
        <f t="shared" si="1"/>
        <v>45458</v>
      </c>
      <c r="L45" s="41">
        <f t="shared" si="4"/>
        <v>0</v>
      </c>
      <c r="M45" s="15">
        <f t="shared" si="3"/>
        <v>45458</v>
      </c>
      <c r="U45" s="17"/>
      <c r="V45" s="22"/>
    </row>
    <row r="46" spans="1:22" x14ac:dyDescent="0.3">
      <c r="A46" s="18" t="s">
        <v>26</v>
      </c>
      <c r="B46" s="9" t="s">
        <v>19</v>
      </c>
      <c r="C46" s="23" t="s">
        <v>18</v>
      </c>
      <c r="D46" s="20">
        <v>134</v>
      </c>
      <c r="E46" s="21">
        <v>1133</v>
      </c>
      <c r="F46" s="20">
        <v>51</v>
      </c>
      <c r="G46" s="20">
        <v>3</v>
      </c>
      <c r="H46" s="21">
        <v>700</v>
      </c>
      <c r="I46" s="13">
        <v>51</v>
      </c>
      <c r="J46" s="14">
        <f t="shared" si="0"/>
        <v>137</v>
      </c>
      <c r="K46" s="15">
        <f t="shared" si="1"/>
        <v>57783</v>
      </c>
      <c r="L46" s="41">
        <f t="shared" si="4"/>
        <v>0</v>
      </c>
      <c r="M46" s="15">
        <f t="shared" si="3"/>
        <v>57783</v>
      </c>
      <c r="U46" s="17"/>
      <c r="V46" s="22"/>
    </row>
    <row r="47" spans="1:22" x14ac:dyDescent="0.3">
      <c r="A47" s="8" t="s">
        <v>26</v>
      </c>
      <c r="B47" s="24" t="s">
        <v>20</v>
      </c>
      <c r="C47" s="10" t="s">
        <v>16</v>
      </c>
      <c r="D47" s="11">
        <v>18</v>
      </c>
      <c r="E47" s="12">
        <v>4820</v>
      </c>
      <c r="F47" s="11">
        <v>6</v>
      </c>
      <c r="G47" s="11">
        <v>0</v>
      </c>
      <c r="H47" s="12">
        <v>2500</v>
      </c>
      <c r="I47" s="13">
        <v>6</v>
      </c>
      <c r="J47" s="14">
        <f t="shared" si="0"/>
        <v>18</v>
      </c>
      <c r="K47" s="15">
        <f t="shared" si="1"/>
        <v>28920</v>
      </c>
      <c r="L47" s="41">
        <f t="shared" si="4"/>
        <v>0</v>
      </c>
      <c r="M47" s="15">
        <f t="shared" si="3"/>
        <v>28920</v>
      </c>
      <c r="U47" s="17"/>
      <c r="V47" s="22"/>
    </row>
    <row r="48" spans="1:22" x14ac:dyDescent="0.3">
      <c r="A48" s="18" t="s">
        <v>26</v>
      </c>
      <c r="B48" s="24" t="s">
        <v>20</v>
      </c>
      <c r="C48" s="19" t="s">
        <v>17</v>
      </c>
      <c r="D48" s="20">
        <v>18</v>
      </c>
      <c r="E48" s="21">
        <v>6320</v>
      </c>
      <c r="F48" s="20">
        <v>4</v>
      </c>
      <c r="G48" s="20">
        <v>0</v>
      </c>
      <c r="H48" s="21">
        <v>2500</v>
      </c>
      <c r="I48" s="13">
        <v>4</v>
      </c>
      <c r="J48" s="14">
        <f t="shared" si="0"/>
        <v>18</v>
      </c>
      <c r="K48" s="15">
        <f t="shared" si="1"/>
        <v>25280</v>
      </c>
      <c r="L48" s="41">
        <f t="shared" si="4"/>
        <v>0</v>
      </c>
      <c r="M48" s="15">
        <f t="shared" si="3"/>
        <v>25280</v>
      </c>
      <c r="U48" s="17"/>
      <c r="V48" s="22"/>
    </row>
    <row r="49" spans="1:22" x14ac:dyDescent="0.3">
      <c r="A49" s="8" t="s">
        <v>26</v>
      </c>
      <c r="B49" s="24" t="s">
        <v>20</v>
      </c>
      <c r="C49" s="23" t="s">
        <v>18</v>
      </c>
      <c r="D49" s="11">
        <v>18</v>
      </c>
      <c r="E49" s="12">
        <v>5356</v>
      </c>
      <c r="F49" s="11">
        <v>6</v>
      </c>
      <c r="G49" s="11">
        <v>0</v>
      </c>
      <c r="H49" s="12">
        <v>2500</v>
      </c>
      <c r="I49" s="13">
        <v>6</v>
      </c>
      <c r="J49" s="14">
        <f t="shared" si="0"/>
        <v>18</v>
      </c>
      <c r="K49" s="15">
        <f t="shared" si="1"/>
        <v>32136</v>
      </c>
      <c r="L49" s="41">
        <f t="shared" si="4"/>
        <v>0</v>
      </c>
      <c r="M49" s="15">
        <f t="shared" si="3"/>
        <v>32136</v>
      </c>
      <c r="U49" s="17"/>
      <c r="V49" s="22"/>
    </row>
    <row r="50" spans="1:22" x14ac:dyDescent="0.3">
      <c r="A50" s="18" t="s">
        <v>26</v>
      </c>
      <c r="B50" s="25" t="s">
        <v>21</v>
      </c>
      <c r="C50" s="10" t="s">
        <v>16</v>
      </c>
      <c r="D50" s="20">
        <v>405</v>
      </c>
      <c r="E50" s="21">
        <v>482</v>
      </c>
      <c r="F50" s="20">
        <v>159</v>
      </c>
      <c r="G50" s="20">
        <v>12</v>
      </c>
      <c r="H50" s="21">
        <v>250</v>
      </c>
      <c r="I50" s="13">
        <v>159</v>
      </c>
      <c r="J50" s="14">
        <f t="shared" si="0"/>
        <v>417</v>
      </c>
      <c r="K50" s="15">
        <f t="shared" si="1"/>
        <v>76638</v>
      </c>
      <c r="L50" s="41">
        <f t="shared" si="4"/>
        <v>0</v>
      </c>
      <c r="M50" s="15">
        <f t="shared" si="3"/>
        <v>76638</v>
      </c>
      <c r="U50" s="17"/>
      <c r="V50" s="22"/>
    </row>
    <row r="51" spans="1:22" x14ac:dyDescent="0.3">
      <c r="A51" s="8" t="s">
        <v>26</v>
      </c>
      <c r="B51" s="25" t="s">
        <v>21</v>
      </c>
      <c r="C51" s="19" t="s">
        <v>17</v>
      </c>
      <c r="D51" s="11">
        <v>405</v>
      </c>
      <c r="E51" s="12">
        <v>632</v>
      </c>
      <c r="F51" s="11">
        <v>104</v>
      </c>
      <c r="G51" s="11">
        <v>12</v>
      </c>
      <c r="H51" s="12">
        <v>250</v>
      </c>
      <c r="I51" s="13">
        <v>104</v>
      </c>
      <c r="J51" s="14">
        <f t="shared" si="0"/>
        <v>417</v>
      </c>
      <c r="K51" s="15">
        <f t="shared" si="1"/>
        <v>65728</v>
      </c>
      <c r="L51" s="41">
        <f t="shared" si="4"/>
        <v>7699.86</v>
      </c>
      <c r="M51" s="15">
        <f t="shared" si="3"/>
        <v>58028.14</v>
      </c>
      <c r="U51" s="17"/>
      <c r="V51" s="22"/>
    </row>
    <row r="52" spans="1:22" x14ac:dyDescent="0.3">
      <c r="A52" s="18" t="s">
        <v>26</v>
      </c>
      <c r="B52" s="25" t="s">
        <v>21</v>
      </c>
      <c r="C52" s="23" t="s">
        <v>18</v>
      </c>
      <c r="D52" s="20">
        <v>405</v>
      </c>
      <c r="E52" s="21">
        <v>536</v>
      </c>
      <c r="F52" s="20">
        <v>154</v>
      </c>
      <c r="G52" s="20">
        <v>12</v>
      </c>
      <c r="H52" s="21">
        <v>250</v>
      </c>
      <c r="I52" s="13">
        <v>154</v>
      </c>
      <c r="J52" s="14">
        <f t="shared" si="0"/>
        <v>417</v>
      </c>
      <c r="K52" s="15">
        <f t="shared" si="1"/>
        <v>82544</v>
      </c>
      <c r="L52" s="41">
        <f t="shared" si="4"/>
        <v>0</v>
      </c>
      <c r="M52" s="15">
        <f t="shared" si="3"/>
        <v>82544</v>
      </c>
      <c r="U52" s="17"/>
      <c r="V52" s="22"/>
    </row>
    <row r="53" spans="1:22" x14ac:dyDescent="0.3">
      <c r="A53" s="8" t="s">
        <v>26</v>
      </c>
      <c r="B53" s="25" t="s">
        <v>22</v>
      </c>
      <c r="C53" s="10" t="s">
        <v>16</v>
      </c>
      <c r="D53" s="11">
        <v>243</v>
      </c>
      <c r="E53" s="12">
        <v>649</v>
      </c>
      <c r="F53" s="11">
        <v>89</v>
      </c>
      <c r="G53" s="11">
        <v>6</v>
      </c>
      <c r="H53" s="12">
        <v>350</v>
      </c>
      <c r="I53" s="13">
        <v>89</v>
      </c>
      <c r="J53" s="14">
        <f t="shared" si="0"/>
        <v>249</v>
      </c>
      <c r="K53" s="15">
        <f t="shared" si="1"/>
        <v>57761</v>
      </c>
      <c r="L53" s="41">
        <f t="shared" si="4"/>
        <v>0</v>
      </c>
      <c r="M53" s="15">
        <f t="shared" si="3"/>
        <v>57761</v>
      </c>
      <c r="U53" s="17"/>
      <c r="V53" s="22"/>
    </row>
    <row r="54" spans="1:22" x14ac:dyDescent="0.3">
      <c r="A54" s="18" t="s">
        <v>26</v>
      </c>
      <c r="B54" s="25" t="s">
        <v>22</v>
      </c>
      <c r="C54" s="19" t="s">
        <v>17</v>
      </c>
      <c r="D54" s="20">
        <v>243</v>
      </c>
      <c r="E54" s="21">
        <v>851</v>
      </c>
      <c r="F54" s="20">
        <v>58</v>
      </c>
      <c r="G54" s="20">
        <v>6</v>
      </c>
      <c r="H54" s="21">
        <v>350</v>
      </c>
      <c r="I54" s="13">
        <v>58</v>
      </c>
      <c r="J54" s="14">
        <f t="shared" si="0"/>
        <v>249</v>
      </c>
      <c r="K54" s="15">
        <f t="shared" si="1"/>
        <v>49358</v>
      </c>
      <c r="L54" s="41">
        <f t="shared" si="4"/>
        <v>32619.16</v>
      </c>
      <c r="M54" s="15">
        <f t="shared" si="3"/>
        <v>16738.84</v>
      </c>
      <c r="U54" s="17"/>
      <c r="V54" s="22"/>
    </row>
    <row r="55" spans="1:22" x14ac:dyDescent="0.3">
      <c r="A55" s="8" t="s">
        <v>26</v>
      </c>
      <c r="B55" s="25" t="s">
        <v>22</v>
      </c>
      <c r="C55" s="23" t="s">
        <v>18</v>
      </c>
      <c r="D55" s="11">
        <v>243</v>
      </c>
      <c r="E55" s="12">
        <v>721</v>
      </c>
      <c r="F55" s="11">
        <v>86</v>
      </c>
      <c r="G55" s="11">
        <v>6</v>
      </c>
      <c r="H55" s="12">
        <v>350</v>
      </c>
      <c r="I55" s="13">
        <v>86</v>
      </c>
      <c r="J55" s="14">
        <f t="shared" si="0"/>
        <v>249</v>
      </c>
      <c r="K55" s="15">
        <f t="shared" si="1"/>
        <v>62006</v>
      </c>
      <c r="L55" s="41">
        <f t="shared" si="4"/>
        <v>1038.8699999999999</v>
      </c>
      <c r="M55" s="15">
        <f t="shared" si="3"/>
        <v>60967.13</v>
      </c>
      <c r="U55" s="17"/>
      <c r="V55" s="22"/>
    </row>
    <row r="56" spans="1:22" x14ac:dyDescent="0.3">
      <c r="A56" s="18" t="s">
        <v>26</v>
      </c>
      <c r="B56" s="24" t="s">
        <v>25</v>
      </c>
      <c r="C56" s="10" t="s">
        <v>16</v>
      </c>
      <c r="D56" s="20">
        <v>30</v>
      </c>
      <c r="E56" s="21">
        <v>2596</v>
      </c>
      <c r="F56" s="20">
        <v>10</v>
      </c>
      <c r="G56" s="20">
        <v>0</v>
      </c>
      <c r="H56" s="21">
        <v>1300</v>
      </c>
      <c r="I56" s="13">
        <v>10</v>
      </c>
      <c r="J56" s="14">
        <f t="shared" si="0"/>
        <v>30</v>
      </c>
      <c r="K56" s="15">
        <f t="shared" si="1"/>
        <v>25960</v>
      </c>
      <c r="L56" s="41">
        <f t="shared" si="4"/>
        <v>0</v>
      </c>
      <c r="M56" s="15">
        <f t="shared" si="3"/>
        <v>25960</v>
      </c>
      <c r="U56" s="17"/>
      <c r="V56" s="22"/>
    </row>
    <row r="57" spans="1:22" x14ac:dyDescent="0.3">
      <c r="A57" s="8" t="s">
        <v>26</v>
      </c>
      <c r="B57" s="24" t="s">
        <v>25</v>
      </c>
      <c r="C57" s="19" t="s">
        <v>17</v>
      </c>
      <c r="D57" s="11">
        <v>30</v>
      </c>
      <c r="E57" s="12">
        <v>3403</v>
      </c>
      <c r="F57" s="11">
        <v>7</v>
      </c>
      <c r="G57" s="11">
        <v>0</v>
      </c>
      <c r="H57" s="12">
        <v>1300</v>
      </c>
      <c r="I57" s="13">
        <v>7</v>
      </c>
      <c r="J57" s="14">
        <f t="shared" si="0"/>
        <v>30</v>
      </c>
      <c r="K57" s="15">
        <f t="shared" si="1"/>
        <v>23821</v>
      </c>
      <c r="L57" s="41">
        <f t="shared" si="4"/>
        <v>0</v>
      </c>
      <c r="M57" s="15">
        <f t="shared" si="3"/>
        <v>23821</v>
      </c>
      <c r="U57" s="17"/>
      <c r="V57" s="22"/>
    </row>
    <row r="58" spans="1:22" x14ac:dyDescent="0.3">
      <c r="A58" s="18" t="s">
        <v>26</v>
      </c>
      <c r="B58" s="24" t="s">
        <v>25</v>
      </c>
      <c r="C58" s="23" t="s">
        <v>18</v>
      </c>
      <c r="D58" s="20">
        <v>30</v>
      </c>
      <c r="E58" s="21">
        <v>2884</v>
      </c>
      <c r="F58" s="20">
        <v>10</v>
      </c>
      <c r="G58" s="20">
        <v>0</v>
      </c>
      <c r="H58" s="21">
        <v>1300</v>
      </c>
      <c r="I58" s="13">
        <v>10</v>
      </c>
      <c r="J58" s="14">
        <f t="shared" si="0"/>
        <v>30</v>
      </c>
      <c r="K58" s="15">
        <f t="shared" si="1"/>
        <v>28840</v>
      </c>
      <c r="L58" s="41">
        <f t="shared" si="4"/>
        <v>0</v>
      </c>
      <c r="M58" s="15">
        <f t="shared" si="3"/>
        <v>28840</v>
      </c>
      <c r="U58" s="17"/>
      <c r="V58" s="22"/>
    </row>
    <row r="59" spans="1:22" x14ac:dyDescent="0.3">
      <c r="A59" s="8" t="s">
        <v>27</v>
      </c>
      <c r="B59" s="9" t="s">
        <v>15</v>
      </c>
      <c r="C59" s="10" t="s">
        <v>16</v>
      </c>
      <c r="D59" s="11">
        <v>946</v>
      </c>
      <c r="E59" s="12">
        <v>917</v>
      </c>
      <c r="F59" s="11">
        <v>377</v>
      </c>
      <c r="G59" s="11">
        <v>28</v>
      </c>
      <c r="H59" s="12">
        <v>500</v>
      </c>
      <c r="I59" s="13">
        <v>358</v>
      </c>
      <c r="J59" s="14">
        <f t="shared" si="0"/>
        <v>974</v>
      </c>
      <c r="K59" s="15">
        <f t="shared" si="1"/>
        <v>328286</v>
      </c>
      <c r="L59" s="41">
        <f t="shared" si="4"/>
        <v>0</v>
      </c>
      <c r="M59" s="15">
        <f t="shared" si="3"/>
        <v>328286</v>
      </c>
      <c r="U59" s="17"/>
      <c r="V59" s="22"/>
    </row>
    <row r="60" spans="1:22" x14ac:dyDescent="0.3">
      <c r="A60" s="18" t="s">
        <v>27</v>
      </c>
      <c r="B60" s="9" t="s">
        <v>15</v>
      </c>
      <c r="C60" s="19" t="s">
        <v>17</v>
      </c>
      <c r="D60" s="20">
        <v>946</v>
      </c>
      <c r="E60" s="21">
        <v>1202</v>
      </c>
      <c r="F60" s="20">
        <v>248</v>
      </c>
      <c r="G60" s="20">
        <v>28</v>
      </c>
      <c r="H60" s="21">
        <v>500</v>
      </c>
      <c r="I60" s="13">
        <v>248</v>
      </c>
      <c r="J60" s="14">
        <f t="shared" si="0"/>
        <v>974</v>
      </c>
      <c r="K60" s="15">
        <f t="shared" si="1"/>
        <v>298096</v>
      </c>
      <c r="L60" s="41">
        <f t="shared" si="4"/>
        <v>0</v>
      </c>
      <c r="M60" s="15">
        <f t="shared" si="3"/>
        <v>298096</v>
      </c>
      <c r="U60" s="17"/>
      <c r="V60" s="22"/>
    </row>
    <row r="61" spans="1:22" x14ac:dyDescent="0.3">
      <c r="A61" s="8" t="s">
        <v>27</v>
      </c>
      <c r="B61" s="9" t="s">
        <v>15</v>
      </c>
      <c r="C61" s="23" t="s">
        <v>18</v>
      </c>
      <c r="D61" s="11">
        <v>946</v>
      </c>
      <c r="E61" s="12">
        <v>1019</v>
      </c>
      <c r="F61" s="11">
        <v>368</v>
      </c>
      <c r="G61" s="11">
        <v>28</v>
      </c>
      <c r="H61" s="12">
        <v>500</v>
      </c>
      <c r="I61" s="13">
        <v>368</v>
      </c>
      <c r="J61" s="14">
        <f t="shared" si="0"/>
        <v>974</v>
      </c>
      <c r="K61" s="15">
        <f t="shared" si="1"/>
        <v>374992</v>
      </c>
      <c r="L61" s="41">
        <f t="shared" si="4"/>
        <v>26521.74</v>
      </c>
      <c r="M61" s="15">
        <f t="shared" si="3"/>
        <v>348470.26</v>
      </c>
      <c r="U61" s="17"/>
      <c r="V61" s="22"/>
    </row>
    <row r="62" spans="1:22" x14ac:dyDescent="0.3">
      <c r="A62" s="18" t="s">
        <v>27</v>
      </c>
      <c r="B62" s="9" t="s">
        <v>19</v>
      </c>
      <c r="C62" s="10" t="s">
        <v>16</v>
      </c>
      <c r="D62" s="20">
        <v>48</v>
      </c>
      <c r="E62" s="21">
        <v>1121</v>
      </c>
      <c r="F62" s="20">
        <v>19</v>
      </c>
      <c r="G62" s="20">
        <v>1</v>
      </c>
      <c r="H62" s="21">
        <v>700</v>
      </c>
      <c r="I62" s="13">
        <v>19</v>
      </c>
      <c r="J62" s="14">
        <f t="shared" si="0"/>
        <v>49</v>
      </c>
      <c r="K62" s="15">
        <f t="shared" si="1"/>
        <v>21299</v>
      </c>
      <c r="L62" s="41">
        <f t="shared" si="4"/>
        <v>0</v>
      </c>
      <c r="M62" s="15">
        <f t="shared" si="3"/>
        <v>21299</v>
      </c>
      <c r="U62" s="17"/>
      <c r="V62" s="22"/>
    </row>
    <row r="63" spans="1:22" x14ac:dyDescent="0.3">
      <c r="A63" s="8" t="s">
        <v>27</v>
      </c>
      <c r="B63" s="9" t="s">
        <v>19</v>
      </c>
      <c r="C63" s="19" t="s">
        <v>17</v>
      </c>
      <c r="D63" s="11">
        <v>48</v>
      </c>
      <c r="E63" s="12">
        <v>1469</v>
      </c>
      <c r="F63" s="11">
        <v>12</v>
      </c>
      <c r="G63" s="11">
        <v>1</v>
      </c>
      <c r="H63" s="12">
        <v>700</v>
      </c>
      <c r="I63" s="13">
        <v>12</v>
      </c>
      <c r="J63" s="14">
        <f t="shared" si="0"/>
        <v>49</v>
      </c>
      <c r="K63" s="15">
        <f t="shared" si="1"/>
        <v>17628</v>
      </c>
      <c r="L63" s="41">
        <f t="shared" si="4"/>
        <v>0</v>
      </c>
      <c r="M63" s="15">
        <f t="shared" si="3"/>
        <v>17628</v>
      </c>
      <c r="U63" s="17"/>
      <c r="V63" s="22"/>
    </row>
    <row r="64" spans="1:22" x14ac:dyDescent="0.3">
      <c r="A64" s="18" t="s">
        <v>27</v>
      </c>
      <c r="B64" s="9" t="s">
        <v>19</v>
      </c>
      <c r="C64" s="23" t="s">
        <v>18</v>
      </c>
      <c r="D64" s="20">
        <v>48</v>
      </c>
      <c r="E64" s="21">
        <v>1245</v>
      </c>
      <c r="F64" s="20">
        <v>18</v>
      </c>
      <c r="G64" s="20">
        <v>1</v>
      </c>
      <c r="H64" s="21">
        <v>700</v>
      </c>
      <c r="I64" s="13">
        <v>18</v>
      </c>
      <c r="J64" s="14">
        <f t="shared" si="0"/>
        <v>49</v>
      </c>
      <c r="K64" s="15">
        <f t="shared" si="1"/>
        <v>22410</v>
      </c>
      <c r="L64" s="41">
        <f t="shared" si="4"/>
        <v>0</v>
      </c>
      <c r="M64" s="15">
        <f t="shared" si="3"/>
        <v>22410</v>
      </c>
      <c r="U64" s="17"/>
      <c r="V64" s="22"/>
    </row>
    <row r="65" spans="1:22" x14ac:dyDescent="0.3">
      <c r="A65" s="8" t="s">
        <v>27</v>
      </c>
      <c r="B65" s="24" t="s">
        <v>20</v>
      </c>
      <c r="C65" s="10" t="s">
        <v>16</v>
      </c>
      <c r="D65" s="11">
        <v>107</v>
      </c>
      <c r="E65" s="12">
        <v>5298</v>
      </c>
      <c r="F65" s="11">
        <v>36</v>
      </c>
      <c r="G65" s="11">
        <v>1</v>
      </c>
      <c r="H65" s="12">
        <v>2500</v>
      </c>
      <c r="I65" s="13">
        <v>36</v>
      </c>
      <c r="J65" s="14">
        <f t="shared" si="0"/>
        <v>108</v>
      </c>
      <c r="K65" s="15">
        <f t="shared" si="1"/>
        <v>190728</v>
      </c>
      <c r="L65" s="41">
        <f t="shared" si="4"/>
        <v>0</v>
      </c>
      <c r="M65" s="15">
        <f t="shared" si="3"/>
        <v>190728</v>
      </c>
      <c r="U65" s="17"/>
      <c r="V65" s="22"/>
    </row>
    <row r="66" spans="1:22" x14ac:dyDescent="0.3">
      <c r="A66" s="18" t="s">
        <v>27</v>
      </c>
      <c r="B66" s="24" t="s">
        <v>20</v>
      </c>
      <c r="C66" s="19" t="s">
        <v>17</v>
      </c>
      <c r="D66" s="20">
        <v>107</v>
      </c>
      <c r="E66" s="21">
        <v>6946</v>
      </c>
      <c r="F66" s="20">
        <v>24</v>
      </c>
      <c r="G66" s="20">
        <v>1</v>
      </c>
      <c r="H66" s="21">
        <v>2500</v>
      </c>
      <c r="I66" s="13">
        <v>24</v>
      </c>
      <c r="J66" s="14">
        <f t="shared" si="0"/>
        <v>108</v>
      </c>
      <c r="K66" s="15">
        <f t="shared" si="1"/>
        <v>166704</v>
      </c>
      <c r="L66" s="41">
        <f t="shared" si="4"/>
        <v>0</v>
      </c>
      <c r="M66" s="15">
        <f t="shared" si="3"/>
        <v>166704</v>
      </c>
      <c r="U66" s="17"/>
      <c r="V66" s="22"/>
    </row>
    <row r="67" spans="1:22" x14ac:dyDescent="0.3">
      <c r="A67" s="8" t="s">
        <v>27</v>
      </c>
      <c r="B67" s="24" t="s">
        <v>20</v>
      </c>
      <c r="C67" s="23" t="s">
        <v>18</v>
      </c>
      <c r="D67" s="11">
        <v>107</v>
      </c>
      <c r="E67" s="12">
        <v>5886</v>
      </c>
      <c r="F67" s="11">
        <v>35</v>
      </c>
      <c r="G67" s="11">
        <v>1</v>
      </c>
      <c r="H67" s="12">
        <v>2500</v>
      </c>
      <c r="I67" s="13">
        <v>35</v>
      </c>
      <c r="J67" s="14">
        <f t="shared" si="0"/>
        <v>108</v>
      </c>
      <c r="K67" s="15">
        <f t="shared" si="1"/>
        <v>206010</v>
      </c>
      <c r="L67" s="41">
        <f t="shared" si="4"/>
        <v>0</v>
      </c>
      <c r="M67" s="15">
        <f t="shared" si="3"/>
        <v>206010</v>
      </c>
      <c r="U67" s="17"/>
      <c r="V67" s="22"/>
    </row>
    <row r="68" spans="1:22" x14ac:dyDescent="0.3">
      <c r="A68" s="18" t="s">
        <v>27</v>
      </c>
      <c r="B68" s="25" t="s">
        <v>21</v>
      </c>
      <c r="C68" s="10" t="s">
        <v>16</v>
      </c>
      <c r="D68" s="20">
        <v>272</v>
      </c>
      <c r="E68" s="21">
        <v>530</v>
      </c>
      <c r="F68" s="20">
        <v>106</v>
      </c>
      <c r="G68" s="20">
        <v>8</v>
      </c>
      <c r="H68" s="21">
        <v>250</v>
      </c>
      <c r="I68" s="13">
        <v>98</v>
      </c>
      <c r="J68" s="14">
        <f t="shared" si="0"/>
        <v>280</v>
      </c>
      <c r="K68" s="15">
        <f t="shared" si="1"/>
        <v>51940</v>
      </c>
      <c r="L68" s="41">
        <f t="shared" si="4"/>
        <v>0</v>
      </c>
      <c r="M68" s="15">
        <f t="shared" si="3"/>
        <v>51940</v>
      </c>
      <c r="U68" s="17"/>
      <c r="V68" s="22"/>
    </row>
    <row r="69" spans="1:22" x14ac:dyDescent="0.3">
      <c r="A69" s="8" t="s">
        <v>27</v>
      </c>
      <c r="B69" s="25" t="s">
        <v>21</v>
      </c>
      <c r="C69" s="19" t="s">
        <v>17</v>
      </c>
      <c r="D69" s="11">
        <v>272</v>
      </c>
      <c r="E69" s="12">
        <v>695</v>
      </c>
      <c r="F69" s="11">
        <v>70</v>
      </c>
      <c r="G69" s="11">
        <v>8</v>
      </c>
      <c r="H69" s="12">
        <v>250</v>
      </c>
      <c r="I69" s="13">
        <v>70</v>
      </c>
      <c r="J69" s="14">
        <f t="shared" ref="J69:J132" si="5">D69+G69</f>
        <v>280</v>
      </c>
      <c r="K69" s="15">
        <f t="shared" ref="K69:K132" si="6">I69*E69</f>
        <v>48650</v>
      </c>
      <c r="L69" s="41">
        <f t="shared" ref="L69:L100" si="7">(1-$Q$2)*(E69+H69)*I415</f>
        <v>11916.449999999999</v>
      </c>
      <c r="M69" s="15">
        <f t="shared" ref="M69:M132" si="8">K69-L69</f>
        <v>36733.550000000003</v>
      </c>
      <c r="U69" s="17"/>
      <c r="V69" s="22"/>
    </row>
    <row r="70" spans="1:22" x14ac:dyDescent="0.3">
      <c r="A70" s="18" t="s">
        <v>27</v>
      </c>
      <c r="B70" s="25" t="s">
        <v>21</v>
      </c>
      <c r="C70" s="23" t="s">
        <v>18</v>
      </c>
      <c r="D70" s="20">
        <v>272</v>
      </c>
      <c r="E70" s="21">
        <v>589</v>
      </c>
      <c r="F70" s="20">
        <v>104</v>
      </c>
      <c r="G70" s="20">
        <v>8</v>
      </c>
      <c r="H70" s="21">
        <v>250</v>
      </c>
      <c r="I70" s="13">
        <v>104</v>
      </c>
      <c r="J70" s="14">
        <f t="shared" si="5"/>
        <v>280</v>
      </c>
      <c r="K70" s="15">
        <f t="shared" si="6"/>
        <v>61256</v>
      </c>
      <c r="L70" s="41">
        <f t="shared" si="7"/>
        <v>0</v>
      </c>
      <c r="M70" s="15">
        <f t="shared" si="8"/>
        <v>61256</v>
      </c>
      <c r="U70" s="17"/>
      <c r="V70" s="22"/>
    </row>
    <row r="71" spans="1:22" x14ac:dyDescent="0.3">
      <c r="A71" s="8" t="s">
        <v>27</v>
      </c>
      <c r="B71" s="25" t="s">
        <v>22</v>
      </c>
      <c r="C71" s="10" t="s">
        <v>16</v>
      </c>
      <c r="D71" s="11">
        <v>124</v>
      </c>
      <c r="E71" s="12">
        <v>713</v>
      </c>
      <c r="F71" s="11">
        <v>45</v>
      </c>
      <c r="G71" s="11">
        <v>3</v>
      </c>
      <c r="H71" s="12">
        <v>350</v>
      </c>
      <c r="I71" s="13">
        <v>45</v>
      </c>
      <c r="J71" s="14">
        <f t="shared" si="5"/>
        <v>127</v>
      </c>
      <c r="K71" s="15">
        <f t="shared" si="6"/>
        <v>32085</v>
      </c>
      <c r="L71" s="41">
        <f t="shared" si="7"/>
        <v>0</v>
      </c>
      <c r="M71" s="15">
        <f t="shared" si="8"/>
        <v>32085</v>
      </c>
      <c r="U71" s="17"/>
      <c r="V71" s="22"/>
    </row>
    <row r="72" spans="1:22" x14ac:dyDescent="0.3">
      <c r="A72" s="18" t="s">
        <v>27</v>
      </c>
      <c r="B72" s="25" t="s">
        <v>22</v>
      </c>
      <c r="C72" s="19" t="s">
        <v>17</v>
      </c>
      <c r="D72" s="20">
        <v>124</v>
      </c>
      <c r="E72" s="21">
        <v>935</v>
      </c>
      <c r="F72" s="20">
        <v>30</v>
      </c>
      <c r="G72" s="20">
        <v>3</v>
      </c>
      <c r="H72" s="21">
        <v>350</v>
      </c>
      <c r="I72" s="13">
        <v>30</v>
      </c>
      <c r="J72" s="14">
        <f t="shared" si="5"/>
        <v>127</v>
      </c>
      <c r="K72" s="15">
        <f t="shared" si="6"/>
        <v>28050</v>
      </c>
      <c r="L72" s="41">
        <f t="shared" si="7"/>
        <v>38639.950000000004</v>
      </c>
      <c r="M72" s="15">
        <f t="shared" si="8"/>
        <v>-10589.950000000004</v>
      </c>
      <c r="U72" s="17"/>
      <c r="V72" s="22"/>
    </row>
    <row r="73" spans="1:22" x14ac:dyDescent="0.3">
      <c r="A73" s="8" t="s">
        <v>27</v>
      </c>
      <c r="B73" s="25" t="s">
        <v>22</v>
      </c>
      <c r="C73" s="23" t="s">
        <v>18</v>
      </c>
      <c r="D73" s="11">
        <v>124</v>
      </c>
      <c r="E73" s="12">
        <v>792</v>
      </c>
      <c r="F73" s="11">
        <v>44</v>
      </c>
      <c r="G73" s="11">
        <v>3</v>
      </c>
      <c r="H73" s="12">
        <v>350</v>
      </c>
      <c r="I73" s="13">
        <v>44</v>
      </c>
      <c r="J73" s="14">
        <f t="shared" si="5"/>
        <v>127</v>
      </c>
      <c r="K73" s="15">
        <f t="shared" si="6"/>
        <v>34848</v>
      </c>
      <c r="L73" s="41">
        <f t="shared" si="7"/>
        <v>1107.74</v>
      </c>
      <c r="M73" s="15">
        <f t="shared" si="8"/>
        <v>33740.26</v>
      </c>
      <c r="U73" s="17"/>
      <c r="V73" s="22"/>
    </row>
    <row r="74" spans="1:22" x14ac:dyDescent="0.3">
      <c r="A74" s="18" t="s">
        <v>27</v>
      </c>
      <c r="B74" s="26" t="s">
        <v>23</v>
      </c>
      <c r="C74" s="10" t="s">
        <v>16</v>
      </c>
      <c r="D74" s="20">
        <v>73</v>
      </c>
      <c r="E74" s="21">
        <v>571</v>
      </c>
      <c r="F74" s="20">
        <v>25</v>
      </c>
      <c r="G74" s="20">
        <v>1</v>
      </c>
      <c r="H74" s="21">
        <v>220</v>
      </c>
      <c r="I74" s="13">
        <v>25</v>
      </c>
      <c r="J74" s="14">
        <f t="shared" si="5"/>
        <v>74</v>
      </c>
      <c r="K74" s="15">
        <f t="shared" si="6"/>
        <v>14275</v>
      </c>
      <c r="L74" s="41">
        <f t="shared" si="7"/>
        <v>0</v>
      </c>
      <c r="M74" s="15">
        <f t="shared" si="8"/>
        <v>14275</v>
      </c>
      <c r="U74" s="17"/>
      <c r="V74" s="22"/>
    </row>
    <row r="75" spans="1:22" x14ac:dyDescent="0.3">
      <c r="A75" s="8" t="s">
        <v>27</v>
      </c>
      <c r="B75" s="26" t="s">
        <v>23</v>
      </c>
      <c r="C75" s="19" t="s">
        <v>17</v>
      </c>
      <c r="D75" s="11">
        <v>73</v>
      </c>
      <c r="E75" s="12">
        <v>748</v>
      </c>
      <c r="F75" s="11">
        <v>16</v>
      </c>
      <c r="G75" s="11">
        <v>1</v>
      </c>
      <c r="H75" s="12">
        <v>220</v>
      </c>
      <c r="I75" s="13">
        <v>16</v>
      </c>
      <c r="J75" s="14">
        <f t="shared" si="5"/>
        <v>74</v>
      </c>
      <c r="K75" s="15">
        <f t="shared" si="6"/>
        <v>11968</v>
      </c>
      <c r="L75" s="41">
        <f t="shared" si="7"/>
        <v>9389.5999999999985</v>
      </c>
      <c r="M75" s="15">
        <f t="shared" si="8"/>
        <v>2578.4000000000015</v>
      </c>
      <c r="U75" s="17"/>
      <c r="V75" s="22"/>
    </row>
    <row r="76" spans="1:22" x14ac:dyDescent="0.3">
      <c r="A76" s="18" t="s">
        <v>27</v>
      </c>
      <c r="B76" s="26" t="s">
        <v>23</v>
      </c>
      <c r="C76" s="23" t="s">
        <v>18</v>
      </c>
      <c r="D76" s="20">
        <v>73</v>
      </c>
      <c r="E76" s="21">
        <v>634</v>
      </c>
      <c r="F76" s="20">
        <v>24</v>
      </c>
      <c r="G76" s="20">
        <v>1</v>
      </c>
      <c r="H76" s="21">
        <v>220</v>
      </c>
      <c r="I76" s="13">
        <v>24</v>
      </c>
      <c r="J76" s="14">
        <f t="shared" si="5"/>
        <v>74</v>
      </c>
      <c r="K76" s="15">
        <f t="shared" si="6"/>
        <v>15216</v>
      </c>
      <c r="L76" s="41">
        <f t="shared" si="7"/>
        <v>0</v>
      </c>
      <c r="M76" s="15">
        <f t="shared" si="8"/>
        <v>15216</v>
      </c>
      <c r="U76" s="17"/>
      <c r="V76" s="22"/>
    </row>
    <row r="77" spans="1:22" x14ac:dyDescent="0.3">
      <c r="A77" s="8" t="s">
        <v>27</v>
      </c>
      <c r="B77" s="24" t="s">
        <v>25</v>
      </c>
      <c r="C77" s="10" t="s">
        <v>16</v>
      </c>
      <c r="D77" s="11">
        <v>36</v>
      </c>
      <c r="E77" s="12">
        <v>2853</v>
      </c>
      <c r="F77" s="11">
        <v>13</v>
      </c>
      <c r="G77" s="11">
        <v>1</v>
      </c>
      <c r="H77" s="12">
        <v>1300</v>
      </c>
      <c r="I77" s="13">
        <v>13</v>
      </c>
      <c r="J77" s="14">
        <f t="shared" si="5"/>
        <v>37</v>
      </c>
      <c r="K77" s="15">
        <f t="shared" si="6"/>
        <v>37089</v>
      </c>
      <c r="L77" s="41">
        <f t="shared" si="7"/>
        <v>0</v>
      </c>
      <c r="M77" s="15">
        <f t="shared" si="8"/>
        <v>37089</v>
      </c>
      <c r="U77" s="17"/>
      <c r="V77" s="22"/>
    </row>
    <row r="78" spans="1:22" x14ac:dyDescent="0.3">
      <c r="A78" s="18" t="s">
        <v>27</v>
      </c>
      <c r="B78" s="24" t="s">
        <v>25</v>
      </c>
      <c r="C78" s="19" t="s">
        <v>17</v>
      </c>
      <c r="D78" s="20">
        <v>36</v>
      </c>
      <c r="E78" s="21">
        <v>3740</v>
      </c>
      <c r="F78" s="20">
        <v>8</v>
      </c>
      <c r="G78" s="20">
        <v>1</v>
      </c>
      <c r="H78" s="21">
        <v>1300</v>
      </c>
      <c r="I78" s="13">
        <v>8</v>
      </c>
      <c r="J78" s="14">
        <f t="shared" si="5"/>
        <v>37</v>
      </c>
      <c r="K78" s="15">
        <f t="shared" si="6"/>
        <v>29920</v>
      </c>
      <c r="L78" s="41">
        <f t="shared" si="7"/>
        <v>0</v>
      </c>
      <c r="M78" s="15">
        <f t="shared" si="8"/>
        <v>29920</v>
      </c>
      <c r="U78" s="17"/>
      <c r="V78" s="22"/>
    </row>
    <row r="79" spans="1:22" x14ac:dyDescent="0.3">
      <c r="A79" s="8" t="s">
        <v>27</v>
      </c>
      <c r="B79" s="24" t="s">
        <v>25</v>
      </c>
      <c r="C79" s="23" t="s">
        <v>18</v>
      </c>
      <c r="D79" s="11">
        <v>36</v>
      </c>
      <c r="E79" s="12">
        <v>3170</v>
      </c>
      <c r="F79" s="11">
        <v>12</v>
      </c>
      <c r="G79" s="11">
        <v>1</v>
      </c>
      <c r="H79" s="12">
        <v>1300</v>
      </c>
      <c r="I79" s="13">
        <v>12</v>
      </c>
      <c r="J79" s="14">
        <f t="shared" si="5"/>
        <v>37</v>
      </c>
      <c r="K79" s="15">
        <f t="shared" si="6"/>
        <v>38040</v>
      </c>
      <c r="L79" s="41">
        <f t="shared" si="7"/>
        <v>0</v>
      </c>
      <c r="M79" s="15">
        <f t="shared" si="8"/>
        <v>38040</v>
      </c>
      <c r="U79" s="17"/>
      <c r="V79" s="22"/>
    </row>
    <row r="80" spans="1:22" x14ac:dyDescent="0.3">
      <c r="A80" s="18" t="s">
        <v>28</v>
      </c>
      <c r="B80" s="9" t="s">
        <v>15</v>
      </c>
      <c r="C80" s="10" t="s">
        <v>16</v>
      </c>
      <c r="D80" s="20">
        <v>360</v>
      </c>
      <c r="E80" s="21">
        <v>839</v>
      </c>
      <c r="F80" s="20">
        <v>144</v>
      </c>
      <c r="G80" s="20">
        <v>11</v>
      </c>
      <c r="H80" s="21">
        <v>500</v>
      </c>
      <c r="I80" s="13">
        <v>126</v>
      </c>
      <c r="J80" s="14">
        <f t="shared" si="5"/>
        <v>371</v>
      </c>
      <c r="K80" s="15">
        <f t="shared" si="6"/>
        <v>105714</v>
      </c>
      <c r="L80" s="41">
        <f t="shared" si="7"/>
        <v>2597.66</v>
      </c>
      <c r="M80" s="15">
        <f t="shared" si="8"/>
        <v>103116.34</v>
      </c>
      <c r="U80" s="17"/>
      <c r="V80" s="22"/>
    </row>
    <row r="81" spans="1:22" x14ac:dyDescent="0.3">
      <c r="A81" s="8" t="s">
        <v>28</v>
      </c>
      <c r="B81" s="9" t="s">
        <v>15</v>
      </c>
      <c r="C81" s="19" t="s">
        <v>17</v>
      </c>
      <c r="D81" s="11">
        <v>360</v>
      </c>
      <c r="E81" s="12">
        <v>1100</v>
      </c>
      <c r="F81" s="11">
        <v>94</v>
      </c>
      <c r="G81" s="11">
        <v>11</v>
      </c>
      <c r="H81" s="12">
        <v>500</v>
      </c>
      <c r="I81" s="13">
        <v>94</v>
      </c>
      <c r="J81" s="14">
        <f t="shared" si="5"/>
        <v>371</v>
      </c>
      <c r="K81" s="15">
        <f t="shared" si="6"/>
        <v>103400</v>
      </c>
      <c r="L81" s="41">
        <f t="shared" si="7"/>
        <v>0</v>
      </c>
      <c r="M81" s="15">
        <f t="shared" si="8"/>
        <v>103400</v>
      </c>
      <c r="U81" s="17"/>
      <c r="V81" s="22"/>
    </row>
    <row r="82" spans="1:22" x14ac:dyDescent="0.3">
      <c r="A82" s="18" t="s">
        <v>28</v>
      </c>
      <c r="B82" s="9" t="s">
        <v>15</v>
      </c>
      <c r="C82" s="23" t="s">
        <v>18</v>
      </c>
      <c r="D82" s="20">
        <v>360</v>
      </c>
      <c r="E82" s="21">
        <v>932</v>
      </c>
      <c r="F82" s="20">
        <v>140</v>
      </c>
      <c r="G82" s="20">
        <v>11</v>
      </c>
      <c r="H82" s="21">
        <v>500</v>
      </c>
      <c r="I82" s="13">
        <v>140</v>
      </c>
      <c r="J82" s="14">
        <f t="shared" si="5"/>
        <v>371</v>
      </c>
      <c r="K82" s="15">
        <f t="shared" si="6"/>
        <v>130480</v>
      </c>
      <c r="L82" s="41">
        <f t="shared" si="7"/>
        <v>0</v>
      </c>
      <c r="M82" s="15">
        <f t="shared" si="8"/>
        <v>130480</v>
      </c>
      <c r="U82" s="17"/>
      <c r="V82" s="22"/>
    </row>
    <row r="83" spans="1:22" x14ac:dyDescent="0.3">
      <c r="A83" s="8" t="s">
        <v>28</v>
      </c>
      <c r="B83" s="9" t="s">
        <v>19</v>
      </c>
      <c r="C83" s="10" t="s">
        <v>16</v>
      </c>
      <c r="D83" s="11">
        <v>134</v>
      </c>
      <c r="E83" s="12">
        <v>1026</v>
      </c>
      <c r="F83" s="11">
        <v>52</v>
      </c>
      <c r="G83" s="11">
        <v>3</v>
      </c>
      <c r="H83" s="12">
        <v>700</v>
      </c>
      <c r="I83" s="13">
        <v>49</v>
      </c>
      <c r="J83" s="14">
        <f t="shared" si="5"/>
        <v>137</v>
      </c>
      <c r="K83" s="15">
        <f t="shared" si="6"/>
        <v>50274</v>
      </c>
      <c r="L83" s="41">
        <f t="shared" si="7"/>
        <v>0</v>
      </c>
      <c r="M83" s="15">
        <f t="shared" si="8"/>
        <v>50274</v>
      </c>
      <c r="U83" s="17"/>
      <c r="V83" s="22"/>
    </row>
    <row r="84" spans="1:22" x14ac:dyDescent="0.3">
      <c r="A84" s="18" t="s">
        <v>28</v>
      </c>
      <c r="B84" s="9" t="s">
        <v>19</v>
      </c>
      <c r="C84" s="19" t="s">
        <v>17</v>
      </c>
      <c r="D84" s="20">
        <v>134</v>
      </c>
      <c r="E84" s="21">
        <v>1345</v>
      </c>
      <c r="F84" s="20">
        <v>34</v>
      </c>
      <c r="G84" s="20">
        <v>3</v>
      </c>
      <c r="H84" s="21">
        <v>700</v>
      </c>
      <c r="I84" s="13">
        <v>34</v>
      </c>
      <c r="J84" s="14">
        <f t="shared" si="5"/>
        <v>137</v>
      </c>
      <c r="K84" s="15">
        <f t="shared" si="6"/>
        <v>45730</v>
      </c>
      <c r="L84" s="41">
        <f t="shared" si="7"/>
        <v>0</v>
      </c>
      <c r="M84" s="15">
        <f t="shared" si="8"/>
        <v>45730</v>
      </c>
      <c r="U84" s="17"/>
      <c r="V84" s="22"/>
    </row>
    <row r="85" spans="1:22" x14ac:dyDescent="0.3">
      <c r="A85" s="8" t="s">
        <v>28</v>
      </c>
      <c r="B85" s="9" t="s">
        <v>19</v>
      </c>
      <c r="C85" s="23" t="s">
        <v>18</v>
      </c>
      <c r="D85" s="11">
        <v>134</v>
      </c>
      <c r="E85" s="12">
        <v>1140</v>
      </c>
      <c r="F85" s="11">
        <v>51</v>
      </c>
      <c r="G85" s="11">
        <v>3</v>
      </c>
      <c r="H85" s="12">
        <v>700</v>
      </c>
      <c r="I85" s="13">
        <v>51</v>
      </c>
      <c r="J85" s="14">
        <f t="shared" si="5"/>
        <v>137</v>
      </c>
      <c r="K85" s="15">
        <f t="shared" si="6"/>
        <v>58140</v>
      </c>
      <c r="L85" s="41">
        <f t="shared" si="7"/>
        <v>10708.8</v>
      </c>
      <c r="M85" s="15">
        <f t="shared" si="8"/>
        <v>47431.199999999997</v>
      </c>
      <c r="U85" s="17"/>
      <c r="V85" s="22"/>
    </row>
    <row r="86" spans="1:22" x14ac:dyDescent="0.3">
      <c r="A86" s="18" t="s">
        <v>28</v>
      </c>
      <c r="B86" s="24" t="s">
        <v>20</v>
      </c>
      <c r="C86" s="10" t="s">
        <v>16</v>
      </c>
      <c r="D86" s="20">
        <v>18</v>
      </c>
      <c r="E86" s="21">
        <v>4848</v>
      </c>
      <c r="F86" s="20">
        <v>6</v>
      </c>
      <c r="G86" s="20">
        <v>0</v>
      </c>
      <c r="H86" s="21">
        <v>2500</v>
      </c>
      <c r="I86" s="13">
        <v>6</v>
      </c>
      <c r="J86" s="14">
        <f t="shared" si="5"/>
        <v>18</v>
      </c>
      <c r="K86" s="15">
        <f t="shared" si="6"/>
        <v>29088</v>
      </c>
      <c r="L86" s="41">
        <f t="shared" si="7"/>
        <v>0</v>
      </c>
      <c r="M86" s="15">
        <f t="shared" si="8"/>
        <v>29088</v>
      </c>
      <c r="U86" s="17"/>
      <c r="V86" s="22"/>
    </row>
    <row r="87" spans="1:22" x14ac:dyDescent="0.3">
      <c r="A87" s="8" t="s">
        <v>28</v>
      </c>
      <c r="B87" s="24" t="s">
        <v>20</v>
      </c>
      <c r="C87" s="19" t="s">
        <v>17</v>
      </c>
      <c r="D87" s="11">
        <v>18</v>
      </c>
      <c r="E87" s="12">
        <v>6357</v>
      </c>
      <c r="F87" s="11">
        <v>4</v>
      </c>
      <c r="G87" s="11">
        <v>0</v>
      </c>
      <c r="H87" s="12">
        <v>2500</v>
      </c>
      <c r="I87" s="13">
        <v>4</v>
      </c>
      <c r="J87" s="14">
        <f t="shared" si="5"/>
        <v>18</v>
      </c>
      <c r="K87" s="15">
        <f t="shared" si="6"/>
        <v>25428</v>
      </c>
      <c r="L87" s="41">
        <f t="shared" si="7"/>
        <v>0</v>
      </c>
      <c r="M87" s="15">
        <f t="shared" si="8"/>
        <v>25428</v>
      </c>
      <c r="U87" s="17"/>
      <c r="V87" s="22"/>
    </row>
    <row r="88" spans="1:22" x14ac:dyDescent="0.3">
      <c r="A88" s="18" t="s">
        <v>28</v>
      </c>
      <c r="B88" s="24" t="s">
        <v>20</v>
      </c>
      <c r="C88" s="23" t="s">
        <v>18</v>
      </c>
      <c r="D88" s="20">
        <v>18</v>
      </c>
      <c r="E88" s="21">
        <v>5387</v>
      </c>
      <c r="F88" s="20">
        <v>6</v>
      </c>
      <c r="G88" s="20">
        <v>0</v>
      </c>
      <c r="H88" s="21">
        <v>2500</v>
      </c>
      <c r="I88" s="13">
        <v>6</v>
      </c>
      <c r="J88" s="14">
        <f t="shared" si="5"/>
        <v>18</v>
      </c>
      <c r="K88" s="15">
        <f t="shared" si="6"/>
        <v>32322</v>
      </c>
      <c r="L88" s="41">
        <f t="shared" si="7"/>
        <v>0</v>
      </c>
      <c r="M88" s="15">
        <f t="shared" si="8"/>
        <v>32322</v>
      </c>
      <c r="U88" s="17"/>
      <c r="V88" s="22"/>
    </row>
    <row r="89" spans="1:22" x14ac:dyDescent="0.3">
      <c r="A89" s="8" t="s">
        <v>28</v>
      </c>
      <c r="B89" s="25" t="s">
        <v>21</v>
      </c>
      <c r="C89" s="10" t="s">
        <v>16</v>
      </c>
      <c r="D89" s="11">
        <v>412</v>
      </c>
      <c r="E89" s="12">
        <v>485</v>
      </c>
      <c r="F89" s="11">
        <v>161</v>
      </c>
      <c r="G89" s="11">
        <v>12</v>
      </c>
      <c r="H89" s="12">
        <v>250</v>
      </c>
      <c r="I89" s="13">
        <v>161</v>
      </c>
      <c r="J89" s="14">
        <f t="shared" si="5"/>
        <v>424</v>
      </c>
      <c r="K89" s="15">
        <f t="shared" si="6"/>
        <v>78085</v>
      </c>
      <c r="L89" s="41">
        <f t="shared" si="7"/>
        <v>0</v>
      </c>
      <c r="M89" s="15">
        <f t="shared" si="8"/>
        <v>78085</v>
      </c>
      <c r="U89" s="17"/>
      <c r="V89" s="22"/>
    </row>
    <row r="90" spans="1:22" x14ac:dyDescent="0.3">
      <c r="A90" s="18" t="s">
        <v>28</v>
      </c>
      <c r="B90" s="25" t="s">
        <v>21</v>
      </c>
      <c r="C90" s="19" t="s">
        <v>17</v>
      </c>
      <c r="D90" s="20">
        <v>412</v>
      </c>
      <c r="E90" s="21">
        <v>636</v>
      </c>
      <c r="F90" s="20">
        <v>106</v>
      </c>
      <c r="G90" s="20">
        <v>12</v>
      </c>
      <c r="H90" s="21">
        <v>250</v>
      </c>
      <c r="I90" s="13">
        <v>106</v>
      </c>
      <c r="J90" s="14">
        <f t="shared" si="5"/>
        <v>424</v>
      </c>
      <c r="K90" s="15">
        <f t="shared" si="6"/>
        <v>67416</v>
      </c>
      <c r="L90" s="41">
        <f t="shared" si="7"/>
        <v>28360.859999999997</v>
      </c>
      <c r="M90" s="15">
        <f t="shared" si="8"/>
        <v>39055.14</v>
      </c>
      <c r="U90" s="17"/>
      <c r="V90" s="22"/>
    </row>
    <row r="91" spans="1:22" x14ac:dyDescent="0.3">
      <c r="A91" s="8" t="s">
        <v>28</v>
      </c>
      <c r="B91" s="25" t="s">
        <v>21</v>
      </c>
      <c r="C91" s="23" t="s">
        <v>18</v>
      </c>
      <c r="D91" s="11">
        <v>412</v>
      </c>
      <c r="E91" s="12">
        <v>539</v>
      </c>
      <c r="F91" s="11">
        <v>157</v>
      </c>
      <c r="G91" s="11">
        <v>12</v>
      </c>
      <c r="H91" s="12">
        <v>250</v>
      </c>
      <c r="I91" s="13">
        <v>157</v>
      </c>
      <c r="J91" s="14">
        <f t="shared" si="5"/>
        <v>424</v>
      </c>
      <c r="K91" s="15">
        <f t="shared" si="6"/>
        <v>84623</v>
      </c>
      <c r="L91" s="41">
        <f t="shared" si="7"/>
        <v>4591.9799999999996</v>
      </c>
      <c r="M91" s="15">
        <f t="shared" si="8"/>
        <v>80031.02</v>
      </c>
      <c r="U91" s="17"/>
      <c r="V91" s="22"/>
    </row>
    <row r="92" spans="1:22" x14ac:dyDescent="0.3">
      <c r="A92" s="18" t="s">
        <v>28</v>
      </c>
      <c r="B92" s="25" t="s">
        <v>22</v>
      </c>
      <c r="C92" s="10" t="s">
        <v>16</v>
      </c>
      <c r="D92" s="20">
        <v>243</v>
      </c>
      <c r="E92" s="21">
        <v>653</v>
      </c>
      <c r="F92" s="20">
        <v>89</v>
      </c>
      <c r="G92" s="20">
        <v>6</v>
      </c>
      <c r="H92" s="21">
        <v>350</v>
      </c>
      <c r="I92" s="13">
        <v>89</v>
      </c>
      <c r="J92" s="14">
        <f t="shared" si="5"/>
        <v>249</v>
      </c>
      <c r="K92" s="15">
        <f t="shared" si="6"/>
        <v>58117</v>
      </c>
      <c r="L92" s="41">
        <f t="shared" si="7"/>
        <v>0</v>
      </c>
      <c r="M92" s="15">
        <f t="shared" si="8"/>
        <v>58117</v>
      </c>
      <c r="U92" s="17"/>
      <c r="V92" s="22"/>
    </row>
    <row r="93" spans="1:22" x14ac:dyDescent="0.3">
      <c r="A93" s="8" t="s">
        <v>28</v>
      </c>
      <c r="B93" s="25" t="s">
        <v>22</v>
      </c>
      <c r="C93" s="19" t="s">
        <v>17</v>
      </c>
      <c r="D93" s="11">
        <v>243</v>
      </c>
      <c r="E93" s="12">
        <v>856</v>
      </c>
      <c r="F93" s="11">
        <v>58</v>
      </c>
      <c r="G93" s="11">
        <v>6</v>
      </c>
      <c r="H93" s="12">
        <v>350</v>
      </c>
      <c r="I93" s="13">
        <v>58</v>
      </c>
      <c r="J93" s="14">
        <f t="shared" si="5"/>
        <v>249</v>
      </c>
      <c r="K93" s="15">
        <f t="shared" si="6"/>
        <v>49648</v>
      </c>
      <c r="L93" s="41">
        <f t="shared" si="7"/>
        <v>0</v>
      </c>
      <c r="M93" s="15">
        <f t="shared" si="8"/>
        <v>49648</v>
      </c>
      <c r="U93" s="17"/>
      <c r="V93" s="22"/>
    </row>
    <row r="94" spans="1:22" x14ac:dyDescent="0.3">
      <c r="A94" s="18" t="s">
        <v>28</v>
      </c>
      <c r="B94" s="25" t="s">
        <v>22</v>
      </c>
      <c r="C94" s="23" t="s">
        <v>18</v>
      </c>
      <c r="D94" s="20">
        <v>243</v>
      </c>
      <c r="E94" s="21">
        <v>725</v>
      </c>
      <c r="F94" s="20">
        <v>86</v>
      </c>
      <c r="G94" s="20">
        <v>6</v>
      </c>
      <c r="H94" s="21">
        <v>350</v>
      </c>
      <c r="I94" s="13">
        <v>86</v>
      </c>
      <c r="J94" s="14">
        <f t="shared" si="5"/>
        <v>249</v>
      </c>
      <c r="K94" s="15">
        <f t="shared" si="6"/>
        <v>62350</v>
      </c>
      <c r="L94" s="41">
        <f t="shared" si="7"/>
        <v>0</v>
      </c>
      <c r="M94" s="15">
        <f t="shared" si="8"/>
        <v>62350</v>
      </c>
      <c r="U94" s="17"/>
      <c r="V94" s="22"/>
    </row>
    <row r="95" spans="1:22" x14ac:dyDescent="0.3">
      <c r="A95" s="8" t="s">
        <v>28</v>
      </c>
      <c r="B95" s="24" t="s">
        <v>25</v>
      </c>
      <c r="C95" s="10" t="s">
        <v>16</v>
      </c>
      <c r="D95" s="11">
        <v>30</v>
      </c>
      <c r="E95" s="12">
        <v>2611</v>
      </c>
      <c r="F95" s="11">
        <v>10</v>
      </c>
      <c r="G95" s="11">
        <v>0</v>
      </c>
      <c r="H95" s="12">
        <v>1300</v>
      </c>
      <c r="I95" s="13">
        <v>10</v>
      </c>
      <c r="J95" s="14">
        <f t="shared" si="5"/>
        <v>30</v>
      </c>
      <c r="K95" s="15">
        <f t="shared" si="6"/>
        <v>26110</v>
      </c>
      <c r="L95" s="41">
        <f t="shared" si="7"/>
        <v>0</v>
      </c>
      <c r="M95" s="15">
        <f t="shared" si="8"/>
        <v>26110</v>
      </c>
      <c r="U95" s="17"/>
      <c r="V95" s="22"/>
    </row>
    <row r="96" spans="1:22" x14ac:dyDescent="0.3">
      <c r="A96" s="18" t="s">
        <v>28</v>
      </c>
      <c r="B96" s="24" t="s">
        <v>25</v>
      </c>
      <c r="C96" s="19" t="s">
        <v>17</v>
      </c>
      <c r="D96" s="20">
        <v>30</v>
      </c>
      <c r="E96" s="21">
        <v>3423</v>
      </c>
      <c r="F96" s="20">
        <v>7</v>
      </c>
      <c r="G96" s="20">
        <v>0</v>
      </c>
      <c r="H96" s="21">
        <v>1300</v>
      </c>
      <c r="I96" s="13">
        <v>7</v>
      </c>
      <c r="J96" s="14">
        <f t="shared" si="5"/>
        <v>30</v>
      </c>
      <c r="K96" s="15">
        <f t="shared" si="6"/>
        <v>23961</v>
      </c>
      <c r="L96" s="41">
        <f t="shared" si="7"/>
        <v>0</v>
      </c>
      <c r="M96" s="15">
        <f t="shared" si="8"/>
        <v>23961</v>
      </c>
      <c r="U96" s="17"/>
      <c r="V96" s="22"/>
    </row>
    <row r="97" spans="1:22" x14ac:dyDescent="0.3">
      <c r="A97" s="8" t="s">
        <v>28</v>
      </c>
      <c r="B97" s="24" t="s">
        <v>25</v>
      </c>
      <c r="C97" s="23" t="s">
        <v>18</v>
      </c>
      <c r="D97" s="11">
        <v>30</v>
      </c>
      <c r="E97" s="12">
        <v>2901</v>
      </c>
      <c r="F97" s="11">
        <v>10</v>
      </c>
      <c r="G97" s="11">
        <v>0</v>
      </c>
      <c r="H97" s="12">
        <v>1300</v>
      </c>
      <c r="I97" s="13">
        <v>10</v>
      </c>
      <c r="J97" s="14">
        <f t="shared" si="5"/>
        <v>30</v>
      </c>
      <c r="K97" s="15">
        <f t="shared" si="6"/>
        <v>29010</v>
      </c>
      <c r="L97" s="41">
        <f t="shared" si="7"/>
        <v>0</v>
      </c>
      <c r="M97" s="15">
        <f t="shared" si="8"/>
        <v>29010</v>
      </c>
      <c r="U97" s="17"/>
      <c r="V97" s="22"/>
    </row>
    <row r="98" spans="1:22" x14ac:dyDescent="0.3">
      <c r="A98" s="18" t="s">
        <v>29</v>
      </c>
      <c r="B98" s="9" t="s">
        <v>15</v>
      </c>
      <c r="C98" s="10" t="s">
        <v>16</v>
      </c>
      <c r="D98" s="20">
        <v>245</v>
      </c>
      <c r="E98" s="21">
        <v>810</v>
      </c>
      <c r="F98" s="20">
        <v>98</v>
      </c>
      <c r="G98" s="20">
        <v>7</v>
      </c>
      <c r="H98" s="21">
        <v>500</v>
      </c>
      <c r="I98" s="13">
        <v>93</v>
      </c>
      <c r="J98" s="14">
        <f t="shared" si="5"/>
        <v>252</v>
      </c>
      <c r="K98" s="15">
        <f t="shared" si="6"/>
        <v>75330</v>
      </c>
      <c r="L98" s="41">
        <f t="shared" si="7"/>
        <v>0</v>
      </c>
      <c r="M98" s="15">
        <f t="shared" si="8"/>
        <v>75330</v>
      </c>
      <c r="U98" s="17"/>
      <c r="V98" s="22"/>
    </row>
    <row r="99" spans="1:22" x14ac:dyDescent="0.3">
      <c r="A99" s="8" t="s">
        <v>29</v>
      </c>
      <c r="B99" s="9" t="s">
        <v>15</v>
      </c>
      <c r="C99" s="19" t="s">
        <v>17</v>
      </c>
      <c r="D99" s="11">
        <v>245</v>
      </c>
      <c r="E99" s="12">
        <v>1062</v>
      </c>
      <c r="F99" s="11">
        <v>64</v>
      </c>
      <c r="G99" s="11">
        <v>7</v>
      </c>
      <c r="H99" s="12">
        <v>500</v>
      </c>
      <c r="I99" s="13">
        <v>64</v>
      </c>
      <c r="J99" s="14">
        <f t="shared" si="5"/>
        <v>252</v>
      </c>
      <c r="K99" s="15">
        <f t="shared" si="6"/>
        <v>67968</v>
      </c>
      <c r="L99" s="41">
        <f t="shared" si="7"/>
        <v>0</v>
      </c>
      <c r="M99" s="15">
        <f t="shared" si="8"/>
        <v>67968</v>
      </c>
      <c r="U99" s="17"/>
      <c r="V99" s="22"/>
    </row>
    <row r="100" spans="1:22" x14ac:dyDescent="0.3">
      <c r="A100" s="18" t="s">
        <v>29</v>
      </c>
      <c r="B100" s="9" t="s">
        <v>15</v>
      </c>
      <c r="C100" s="23" t="s">
        <v>18</v>
      </c>
      <c r="D100" s="20">
        <v>245</v>
      </c>
      <c r="E100" s="21">
        <v>900</v>
      </c>
      <c r="F100" s="20">
        <v>95</v>
      </c>
      <c r="G100" s="20">
        <v>7</v>
      </c>
      <c r="H100" s="21">
        <v>500</v>
      </c>
      <c r="I100" s="13">
        <v>95</v>
      </c>
      <c r="J100" s="14">
        <f t="shared" si="5"/>
        <v>252</v>
      </c>
      <c r="K100" s="15">
        <f t="shared" si="6"/>
        <v>85500</v>
      </c>
      <c r="L100" s="41">
        <f t="shared" si="7"/>
        <v>0</v>
      </c>
      <c r="M100" s="15">
        <f t="shared" si="8"/>
        <v>85500</v>
      </c>
      <c r="U100" s="17"/>
      <c r="V100" s="22"/>
    </row>
    <row r="101" spans="1:22" x14ac:dyDescent="0.3">
      <c r="A101" s="8" t="s">
        <v>29</v>
      </c>
      <c r="B101" s="25" t="s">
        <v>21</v>
      </c>
      <c r="C101" s="10" t="s">
        <v>16</v>
      </c>
      <c r="D101" s="11">
        <v>429</v>
      </c>
      <c r="E101" s="12">
        <v>468</v>
      </c>
      <c r="F101" s="11">
        <v>168</v>
      </c>
      <c r="G101" s="11">
        <v>13</v>
      </c>
      <c r="H101" s="12">
        <v>250</v>
      </c>
      <c r="I101" s="13">
        <v>156</v>
      </c>
      <c r="J101" s="14">
        <f t="shared" si="5"/>
        <v>442</v>
      </c>
      <c r="K101" s="15">
        <f t="shared" si="6"/>
        <v>73008</v>
      </c>
      <c r="L101" s="41">
        <f t="shared" ref="L101:L132" si="9">(1-$Q$2)*(E101+H101)*I447</f>
        <v>7661.06</v>
      </c>
      <c r="M101" s="15">
        <f t="shared" si="8"/>
        <v>65346.94</v>
      </c>
      <c r="U101" s="17"/>
      <c r="V101" s="22"/>
    </row>
    <row r="102" spans="1:22" x14ac:dyDescent="0.3">
      <c r="A102" s="18" t="s">
        <v>29</v>
      </c>
      <c r="B102" s="25" t="s">
        <v>21</v>
      </c>
      <c r="C102" s="19" t="s">
        <v>17</v>
      </c>
      <c r="D102" s="20">
        <v>429</v>
      </c>
      <c r="E102" s="21">
        <v>614</v>
      </c>
      <c r="F102" s="20">
        <v>110</v>
      </c>
      <c r="G102" s="20">
        <v>13</v>
      </c>
      <c r="H102" s="21">
        <v>250</v>
      </c>
      <c r="I102" s="13">
        <v>110</v>
      </c>
      <c r="J102" s="14">
        <f t="shared" si="5"/>
        <v>442</v>
      </c>
      <c r="K102" s="15">
        <f t="shared" si="6"/>
        <v>67540</v>
      </c>
      <c r="L102" s="41">
        <f t="shared" si="9"/>
        <v>2514.2399999999998</v>
      </c>
      <c r="M102" s="15">
        <f t="shared" si="8"/>
        <v>65025.760000000002</v>
      </c>
      <c r="U102" s="17"/>
      <c r="V102" s="22"/>
    </row>
    <row r="103" spans="1:22" x14ac:dyDescent="0.3">
      <c r="A103" s="8" t="s">
        <v>29</v>
      </c>
      <c r="B103" s="25" t="s">
        <v>21</v>
      </c>
      <c r="C103" s="23" t="s">
        <v>18</v>
      </c>
      <c r="D103" s="11">
        <v>429</v>
      </c>
      <c r="E103" s="12">
        <v>520</v>
      </c>
      <c r="F103" s="11">
        <v>163</v>
      </c>
      <c r="G103" s="11">
        <v>13</v>
      </c>
      <c r="H103" s="12">
        <v>250</v>
      </c>
      <c r="I103" s="13">
        <v>163</v>
      </c>
      <c r="J103" s="14">
        <f t="shared" si="5"/>
        <v>442</v>
      </c>
      <c r="K103" s="15">
        <f t="shared" si="6"/>
        <v>84760</v>
      </c>
      <c r="L103" s="41">
        <f t="shared" si="9"/>
        <v>0</v>
      </c>
      <c r="M103" s="15">
        <f t="shared" si="8"/>
        <v>84760</v>
      </c>
      <c r="U103" s="17"/>
      <c r="V103" s="22"/>
    </row>
    <row r="104" spans="1:22" x14ac:dyDescent="0.3">
      <c r="A104" s="18" t="s">
        <v>29</v>
      </c>
      <c r="B104" s="25" t="s">
        <v>22</v>
      </c>
      <c r="C104" s="10" t="s">
        <v>16</v>
      </c>
      <c r="D104" s="20">
        <v>313</v>
      </c>
      <c r="E104" s="21">
        <v>630</v>
      </c>
      <c r="F104" s="20">
        <v>114</v>
      </c>
      <c r="G104" s="20">
        <v>8</v>
      </c>
      <c r="H104" s="21">
        <v>350</v>
      </c>
      <c r="I104" s="13">
        <v>114</v>
      </c>
      <c r="J104" s="14">
        <f t="shared" si="5"/>
        <v>321</v>
      </c>
      <c r="K104" s="15">
        <f t="shared" si="6"/>
        <v>71820</v>
      </c>
      <c r="L104" s="41">
        <f t="shared" si="9"/>
        <v>0</v>
      </c>
      <c r="M104" s="15">
        <f t="shared" si="8"/>
        <v>71820</v>
      </c>
      <c r="U104" s="17"/>
      <c r="V104" s="22"/>
    </row>
    <row r="105" spans="1:22" x14ac:dyDescent="0.3">
      <c r="A105" s="8" t="s">
        <v>29</v>
      </c>
      <c r="B105" s="25" t="s">
        <v>22</v>
      </c>
      <c r="C105" s="19" t="s">
        <v>17</v>
      </c>
      <c r="D105" s="11">
        <v>313</v>
      </c>
      <c r="E105" s="12">
        <v>826</v>
      </c>
      <c r="F105" s="11">
        <v>75</v>
      </c>
      <c r="G105" s="11">
        <v>8</v>
      </c>
      <c r="H105" s="12">
        <v>350</v>
      </c>
      <c r="I105" s="13">
        <v>75</v>
      </c>
      <c r="J105" s="14">
        <f t="shared" si="5"/>
        <v>321</v>
      </c>
      <c r="K105" s="15">
        <f t="shared" si="6"/>
        <v>61950</v>
      </c>
      <c r="L105" s="41">
        <f t="shared" si="9"/>
        <v>0</v>
      </c>
      <c r="M105" s="15">
        <f t="shared" si="8"/>
        <v>61950</v>
      </c>
      <c r="U105" s="17"/>
      <c r="V105" s="22"/>
    </row>
    <row r="106" spans="1:22" x14ac:dyDescent="0.3">
      <c r="A106" s="18" t="s">
        <v>29</v>
      </c>
      <c r="B106" s="25" t="s">
        <v>22</v>
      </c>
      <c r="C106" s="23" t="s">
        <v>18</v>
      </c>
      <c r="D106" s="20">
        <v>313</v>
      </c>
      <c r="E106" s="21">
        <v>700</v>
      </c>
      <c r="F106" s="20">
        <v>111</v>
      </c>
      <c r="G106" s="20">
        <v>8</v>
      </c>
      <c r="H106" s="21">
        <v>350</v>
      </c>
      <c r="I106" s="13">
        <v>111</v>
      </c>
      <c r="J106" s="14">
        <f t="shared" si="5"/>
        <v>321</v>
      </c>
      <c r="K106" s="15">
        <f t="shared" si="6"/>
        <v>77700</v>
      </c>
      <c r="L106" s="41">
        <f t="shared" si="9"/>
        <v>0</v>
      </c>
      <c r="M106" s="15">
        <f t="shared" si="8"/>
        <v>77700</v>
      </c>
      <c r="U106" s="17"/>
      <c r="V106" s="22"/>
    </row>
    <row r="107" spans="1:22" x14ac:dyDescent="0.3">
      <c r="A107" s="8" t="s">
        <v>29</v>
      </c>
      <c r="B107" s="24" t="s">
        <v>25</v>
      </c>
      <c r="C107" s="10" t="s">
        <v>16</v>
      </c>
      <c r="D107" s="11">
        <v>15</v>
      </c>
      <c r="E107" s="12">
        <v>2520</v>
      </c>
      <c r="F107" s="11">
        <v>5</v>
      </c>
      <c r="G107" s="11">
        <v>0</v>
      </c>
      <c r="H107" s="12">
        <v>1300</v>
      </c>
      <c r="I107" s="13">
        <v>5</v>
      </c>
      <c r="J107" s="14">
        <f t="shared" si="5"/>
        <v>15</v>
      </c>
      <c r="K107" s="15">
        <f t="shared" si="6"/>
        <v>12600</v>
      </c>
      <c r="L107" s="41">
        <f t="shared" si="9"/>
        <v>0</v>
      </c>
      <c r="M107" s="15">
        <f t="shared" si="8"/>
        <v>12600</v>
      </c>
      <c r="U107" s="17"/>
      <c r="V107" s="22"/>
    </row>
    <row r="108" spans="1:22" x14ac:dyDescent="0.3">
      <c r="A108" s="18" t="s">
        <v>29</v>
      </c>
      <c r="B108" s="24" t="s">
        <v>25</v>
      </c>
      <c r="C108" s="19" t="s">
        <v>17</v>
      </c>
      <c r="D108" s="20">
        <v>15</v>
      </c>
      <c r="E108" s="21">
        <v>3304</v>
      </c>
      <c r="F108" s="20">
        <v>3</v>
      </c>
      <c r="G108" s="20">
        <v>0</v>
      </c>
      <c r="H108" s="21">
        <v>1300</v>
      </c>
      <c r="I108" s="13">
        <v>3</v>
      </c>
      <c r="J108" s="14">
        <f t="shared" si="5"/>
        <v>15</v>
      </c>
      <c r="K108" s="15">
        <f t="shared" si="6"/>
        <v>9912</v>
      </c>
      <c r="L108" s="41">
        <f t="shared" si="9"/>
        <v>0</v>
      </c>
      <c r="M108" s="15">
        <f t="shared" si="8"/>
        <v>9912</v>
      </c>
      <c r="U108" s="17"/>
      <c r="V108" s="22"/>
    </row>
    <row r="109" spans="1:22" x14ac:dyDescent="0.3">
      <c r="A109" s="8" t="s">
        <v>29</v>
      </c>
      <c r="B109" s="24" t="s">
        <v>25</v>
      </c>
      <c r="C109" s="23" t="s">
        <v>18</v>
      </c>
      <c r="D109" s="11">
        <v>15</v>
      </c>
      <c r="E109" s="12">
        <v>2800</v>
      </c>
      <c r="F109" s="11">
        <v>5</v>
      </c>
      <c r="G109" s="11">
        <v>0</v>
      </c>
      <c r="H109" s="12">
        <v>1300</v>
      </c>
      <c r="I109" s="13">
        <v>5</v>
      </c>
      <c r="J109" s="14">
        <f t="shared" si="5"/>
        <v>15</v>
      </c>
      <c r="K109" s="15">
        <f t="shared" si="6"/>
        <v>14000</v>
      </c>
      <c r="L109" s="41">
        <f t="shared" si="9"/>
        <v>0</v>
      </c>
      <c r="M109" s="15">
        <f t="shared" si="8"/>
        <v>14000</v>
      </c>
      <c r="U109" s="17"/>
      <c r="V109" s="22"/>
    </row>
    <row r="110" spans="1:22" x14ac:dyDescent="0.3">
      <c r="A110" s="18" t="s">
        <v>30</v>
      </c>
      <c r="B110" s="9" t="s">
        <v>15</v>
      </c>
      <c r="C110" s="10" t="s">
        <v>16</v>
      </c>
      <c r="D110" s="20">
        <v>390</v>
      </c>
      <c r="E110" s="21">
        <v>810</v>
      </c>
      <c r="F110" s="20">
        <v>156</v>
      </c>
      <c r="G110" s="20">
        <v>12</v>
      </c>
      <c r="H110" s="21">
        <v>500</v>
      </c>
      <c r="I110" s="13">
        <v>136</v>
      </c>
      <c r="J110" s="14">
        <f t="shared" si="5"/>
        <v>402</v>
      </c>
      <c r="K110" s="15">
        <f t="shared" si="6"/>
        <v>110160</v>
      </c>
      <c r="L110" s="41">
        <f t="shared" si="9"/>
        <v>0</v>
      </c>
      <c r="M110" s="15">
        <f t="shared" si="8"/>
        <v>110160</v>
      </c>
      <c r="U110" s="17"/>
      <c r="V110" s="22"/>
    </row>
    <row r="111" spans="1:22" x14ac:dyDescent="0.3">
      <c r="A111" s="8" t="s">
        <v>30</v>
      </c>
      <c r="B111" s="9" t="s">
        <v>15</v>
      </c>
      <c r="C111" s="19" t="s">
        <v>17</v>
      </c>
      <c r="D111" s="11">
        <v>390</v>
      </c>
      <c r="E111" s="12">
        <v>1062</v>
      </c>
      <c r="F111" s="11">
        <v>102</v>
      </c>
      <c r="G111" s="11">
        <v>12</v>
      </c>
      <c r="H111" s="12">
        <v>500</v>
      </c>
      <c r="I111" s="13">
        <v>102</v>
      </c>
      <c r="J111" s="14">
        <f t="shared" si="5"/>
        <v>402</v>
      </c>
      <c r="K111" s="15">
        <f t="shared" si="6"/>
        <v>108324</v>
      </c>
      <c r="L111" s="41">
        <f t="shared" si="9"/>
        <v>0</v>
      </c>
      <c r="M111" s="15">
        <f t="shared" si="8"/>
        <v>108324</v>
      </c>
      <c r="U111" s="17"/>
      <c r="V111" s="22"/>
    </row>
    <row r="112" spans="1:22" x14ac:dyDescent="0.3">
      <c r="A112" s="18" t="s">
        <v>30</v>
      </c>
      <c r="B112" s="9" t="s">
        <v>15</v>
      </c>
      <c r="C112" s="23" t="s">
        <v>18</v>
      </c>
      <c r="D112" s="20">
        <v>390</v>
      </c>
      <c r="E112" s="21">
        <v>900</v>
      </c>
      <c r="F112" s="20">
        <v>152</v>
      </c>
      <c r="G112" s="20">
        <v>12</v>
      </c>
      <c r="H112" s="21">
        <v>500</v>
      </c>
      <c r="I112" s="13">
        <v>152</v>
      </c>
      <c r="J112" s="14">
        <f t="shared" si="5"/>
        <v>402</v>
      </c>
      <c r="K112" s="15">
        <f t="shared" si="6"/>
        <v>136800</v>
      </c>
      <c r="L112" s="41">
        <f t="shared" si="9"/>
        <v>0</v>
      </c>
      <c r="M112" s="15">
        <f t="shared" si="8"/>
        <v>136800</v>
      </c>
      <c r="U112" s="17"/>
      <c r="V112" s="22"/>
    </row>
    <row r="113" spans="1:22" x14ac:dyDescent="0.3">
      <c r="A113" s="8" t="s">
        <v>30</v>
      </c>
      <c r="B113" s="25" t="s">
        <v>21</v>
      </c>
      <c r="C113" s="10" t="s">
        <v>16</v>
      </c>
      <c r="D113" s="11">
        <v>394</v>
      </c>
      <c r="E113" s="12">
        <v>468</v>
      </c>
      <c r="F113" s="11">
        <v>154</v>
      </c>
      <c r="G113" s="11">
        <v>12</v>
      </c>
      <c r="H113" s="12">
        <v>250</v>
      </c>
      <c r="I113" s="13">
        <v>143</v>
      </c>
      <c r="J113" s="14">
        <f t="shared" si="5"/>
        <v>406</v>
      </c>
      <c r="K113" s="15">
        <f t="shared" si="6"/>
        <v>66924</v>
      </c>
      <c r="L113" s="41">
        <f t="shared" si="9"/>
        <v>7661.06</v>
      </c>
      <c r="M113" s="15">
        <f t="shared" si="8"/>
        <v>59262.94</v>
      </c>
      <c r="U113" s="17"/>
      <c r="V113" s="22"/>
    </row>
    <row r="114" spans="1:22" x14ac:dyDescent="0.3">
      <c r="A114" s="18" t="s">
        <v>30</v>
      </c>
      <c r="B114" s="25" t="s">
        <v>21</v>
      </c>
      <c r="C114" s="19" t="s">
        <v>17</v>
      </c>
      <c r="D114" s="20">
        <v>394</v>
      </c>
      <c r="E114" s="21">
        <v>614</v>
      </c>
      <c r="F114" s="20">
        <v>101</v>
      </c>
      <c r="G114" s="20">
        <v>12</v>
      </c>
      <c r="H114" s="21">
        <v>250</v>
      </c>
      <c r="I114" s="13">
        <v>101</v>
      </c>
      <c r="J114" s="14">
        <f t="shared" si="5"/>
        <v>406</v>
      </c>
      <c r="K114" s="15">
        <f t="shared" si="6"/>
        <v>62014</v>
      </c>
      <c r="L114" s="41">
        <f t="shared" si="9"/>
        <v>2514.2399999999998</v>
      </c>
      <c r="M114" s="15">
        <f t="shared" si="8"/>
        <v>59499.76</v>
      </c>
      <c r="U114" s="17"/>
      <c r="V114" s="22"/>
    </row>
    <row r="115" spans="1:22" x14ac:dyDescent="0.3">
      <c r="A115" s="8" t="s">
        <v>30</v>
      </c>
      <c r="B115" s="25" t="s">
        <v>21</v>
      </c>
      <c r="C115" s="23" t="s">
        <v>18</v>
      </c>
      <c r="D115" s="11">
        <v>394</v>
      </c>
      <c r="E115" s="12">
        <v>520</v>
      </c>
      <c r="F115" s="11">
        <v>150</v>
      </c>
      <c r="G115" s="11">
        <v>12</v>
      </c>
      <c r="H115" s="12">
        <v>250</v>
      </c>
      <c r="I115" s="13">
        <v>150</v>
      </c>
      <c r="J115" s="14">
        <f t="shared" si="5"/>
        <v>406</v>
      </c>
      <c r="K115" s="15">
        <f t="shared" si="6"/>
        <v>78000</v>
      </c>
      <c r="L115" s="41">
        <f t="shared" si="9"/>
        <v>0</v>
      </c>
      <c r="M115" s="15">
        <f t="shared" si="8"/>
        <v>78000</v>
      </c>
      <c r="U115" s="17"/>
      <c r="V115" s="22"/>
    </row>
    <row r="116" spans="1:22" x14ac:dyDescent="0.3">
      <c r="A116" s="18" t="s">
        <v>30</v>
      </c>
      <c r="B116" s="25" t="s">
        <v>22</v>
      </c>
      <c r="C116" s="10" t="s">
        <v>16</v>
      </c>
      <c r="D116" s="20">
        <v>223</v>
      </c>
      <c r="E116" s="21">
        <v>630</v>
      </c>
      <c r="F116" s="20">
        <v>81</v>
      </c>
      <c r="G116" s="20">
        <v>6</v>
      </c>
      <c r="H116" s="21">
        <v>350</v>
      </c>
      <c r="I116" s="13">
        <v>81</v>
      </c>
      <c r="J116" s="14">
        <f t="shared" si="5"/>
        <v>229</v>
      </c>
      <c r="K116" s="15">
        <f t="shared" si="6"/>
        <v>51030</v>
      </c>
      <c r="L116" s="41">
        <f t="shared" si="9"/>
        <v>0</v>
      </c>
      <c r="M116" s="15">
        <f t="shared" si="8"/>
        <v>51030</v>
      </c>
      <c r="U116" s="17"/>
      <c r="V116" s="22"/>
    </row>
    <row r="117" spans="1:22" x14ac:dyDescent="0.3">
      <c r="A117" s="8" t="s">
        <v>30</v>
      </c>
      <c r="B117" s="25" t="s">
        <v>22</v>
      </c>
      <c r="C117" s="19" t="s">
        <v>17</v>
      </c>
      <c r="D117" s="11">
        <v>223</v>
      </c>
      <c r="E117" s="12">
        <v>826</v>
      </c>
      <c r="F117" s="11">
        <v>54</v>
      </c>
      <c r="G117" s="11">
        <v>6</v>
      </c>
      <c r="H117" s="12">
        <v>350</v>
      </c>
      <c r="I117" s="13">
        <v>54</v>
      </c>
      <c r="J117" s="14">
        <f t="shared" si="5"/>
        <v>229</v>
      </c>
      <c r="K117" s="15">
        <f t="shared" si="6"/>
        <v>44604</v>
      </c>
      <c r="L117" s="41">
        <f t="shared" si="9"/>
        <v>0</v>
      </c>
      <c r="M117" s="15">
        <f t="shared" si="8"/>
        <v>44604</v>
      </c>
      <c r="U117" s="17"/>
      <c r="V117" s="22"/>
    </row>
    <row r="118" spans="1:22" x14ac:dyDescent="0.3">
      <c r="A118" s="18" t="s">
        <v>30</v>
      </c>
      <c r="B118" s="25" t="s">
        <v>22</v>
      </c>
      <c r="C118" s="23" t="s">
        <v>18</v>
      </c>
      <c r="D118" s="20">
        <v>223</v>
      </c>
      <c r="E118" s="21">
        <v>700</v>
      </c>
      <c r="F118" s="20">
        <v>79</v>
      </c>
      <c r="G118" s="20">
        <v>6</v>
      </c>
      <c r="H118" s="21">
        <v>350</v>
      </c>
      <c r="I118" s="13">
        <v>79</v>
      </c>
      <c r="J118" s="14">
        <f t="shared" si="5"/>
        <v>229</v>
      </c>
      <c r="K118" s="15">
        <f t="shared" si="6"/>
        <v>55300</v>
      </c>
      <c r="L118" s="41">
        <f t="shared" si="9"/>
        <v>0</v>
      </c>
      <c r="M118" s="15">
        <f t="shared" si="8"/>
        <v>55300</v>
      </c>
      <c r="U118" s="17"/>
      <c r="V118" s="22"/>
    </row>
    <row r="119" spans="1:22" x14ac:dyDescent="0.3">
      <c r="A119" s="8" t="s">
        <v>30</v>
      </c>
      <c r="B119" s="24" t="s">
        <v>25</v>
      </c>
      <c r="C119" s="10" t="s">
        <v>16</v>
      </c>
      <c r="D119" s="11">
        <v>18</v>
      </c>
      <c r="E119" s="12">
        <v>2520</v>
      </c>
      <c r="F119" s="11">
        <v>6</v>
      </c>
      <c r="G119" s="11">
        <v>0</v>
      </c>
      <c r="H119" s="12">
        <v>1300</v>
      </c>
      <c r="I119" s="13">
        <v>6</v>
      </c>
      <c r="J119" s="14">
        <f t="shared" si="5"/>
        <v>18</v>
      </c>
      <c r="K119" s="15">
        <f t="shared" si="6"/>
        <v>15120</v>
      </c>
      <c r="L119" s="41">
        <f t="shared" si="9"/>
        <v>0</v>
      </c>
      <c r="M119" s="15">
        <f t="shared" si="8"/>
        <v>15120</v>
      </c>
      <c r="U119" s="17"/>
      <c r="V119" s="22"/>
    </row>
    <row r="120" spans="1:22" x14ac:dyDescent="0.3">
      <c r="A120" s="18" t="s">
        <v>30</v>
      </c>
      <c r="B120" s="24" t="s">
        <v>25</v>
      </c>
      <c r="C120" s="19" t="s">
        <v>17</v>
      </c>
      <c r="D120" s="20">
        <v>18</v>
      </c>
      <c r="E120" s="21">
        <v>3304</v>
      </c>
      <c r="F120" s="20">
        <v>4</v>
      </c>
      <c r="G120" s="20">
        <v>0</v>
      </c>
      <c r="H120" s="21">
        <v>1300</v>
      </c>
      <c r="I120" s="13">
        <v>4</v>
      </c>
      <c r="J120" s="14">
        <f t="shared" si="5"/>
        <v>18</v>
      </c>
      <c r="K120" s="15">
        <f t="shared" si="6"/>
        <v>13216</v>
      </c>
      <c r="L120" s="41">
        <f>(1-$Q$2)*(E120+H120)*Sheet2!I1</f>
        <v>0</v>
      </c>
      <c r="M120" s="15">
        <f t="shared" si="8"/>
        <v>13216</v>
      </c>
      <c r="U120" s="17"/>
      <c r="V120" s="22"/>
    </row>
    <row r="121" spans="1:22" x14ac:dyDescent="0.3">
      <c r="A121" s="8" t="s">
        <v>30</v>
      </c>
      <c r="B121" s="24" t="s">
        <v>25</v>
      </c>
      <c r="C121" s="23" t="s">
        <v>18</v>
      </c>
      <c r="D121" s="11">
        <v>18</v>
      </c>
      <c r="E121" s="12">
        <v>2800</v>
      </c>
      <c r="F121" s="11">
        <v>6</v>
      </c>
      <c r="G121" s="11">
        <v>0</v>
      </c>
      <c r="H121" s="12">
        <v>1300</v>
      </c>
      <c r="I121" s="13">
        <v>6</v>
      </c>
      <c r="J121" s="14">
        <f t="shared" si="5"/>
        <v>18</v>
      </c>
      <c r="K121" s="15">
        <f t="shared" si="6"/>
        <v>16800</v>
      </c>
      <c r="L121" s="41">
        <f>(1-$Q$2)*(E121+H121)*Sheet2!I2</f>
        <v>0</v>
      </c>
      <c r="M121" s="15">
        <f t="shared" si="8"/>
        <v>16800</v>
      </c>
      <c r="U121" s="17"/>
      <c r="V121" s="22"/>
    </row>
    <row r="122" spans="1:22" x14ac:dyDescent="0.3">
      <c r="A122" s="18" t="s">
        <v>31</v>
      </c>
      <c r="B122" s="9" t="s">
        <v>15</v>
      </c>
      <c r="C122" s="10" t="s">
        <v>16</v>
      </c>
      <c r="D122" s="20">
        <v>368</v>
      </c>
      <c r="E122" s="21">
        <v>815</v>
      </c>
      <c r="F122" s="20">
        <v>147</v>
      </c>
      <c r="G122" s="20">
        <v>11</v>
      </c>
      <c r="H122" s="21">
        <v>500</v>
      </c>
      <c r="I122" s="13">
        <v>128</v>
      </c>
      <c r="J122" s="14">
        <f t="shared" si="5"/>
        <v>379</v>
      </c>
      <c r="K122" s="15">
        <f t="shared" si="6"/>
        <v>104320</v>
      </c>
      <c r="L122" s="41">
        <f>(1-$Q$2)*(E122+H122)*Sheet2!I3</f>
        <v>0</v>
      </c>
      <c r="M122" s="15">
        <f t="shared" si="8"/>
        <v>104320</v>
      </c>
      <c r="U122" s="17"/>
      <c r="V122" s="22"/>
    </row>
    <row r="123" spans="1:22" x14ac:dyDescent="0.3">
      <c r="A123" s="8" t="s">
        <v>31</v>
      </c>
      <c r="B123" s="9" t="s">
        <v>15</v>
      </c>
      <c r="C123" s="19" t="s">
        <v>17</v>
      </c>
      <c r="D123" s="11">
        <v>368</v>
      </c>
      <c r="E123" s="12">
        <v>1068</v>
      </c>
      <c r="F123" s="11">
        <v>97</v>
      </c>
      <c r="G123" s="11">
        <v>11</v>
      </c>
      <c r="H123" s="12">
        <v>500</v>
      </c>
      <c r="I123" s="13">
        <v>97</v>
      </c>
      <c r="J123" s="14">
        <f t="shared" si="5"/>
        <v>379</v>
      </c>
      <c r="K123" s="15">
        <f t="shared" si="6"/>
        <v>103596</v>
      </c>
      <c r="L123" s="41">
        <f>(1-$Q$2)*(E123+H123)*Sheet2!I4</f>
        <v>0</v>
      </c>
      <c r="M123" s="15">
        <f t="shared" si="8"/>
        <v>103596</v>
      </c>
      <c r="U123" s="17"/>
      <c r="V123" s="22"/>
    </row>
    <row r="124" spans="1:22" x14ac:dyDescent="0.3">
      <c r="A124" s="18" t="s">
        <v>31</v>
      </c>
      <c r="B124" s="9" t="s">
        <v>15</v>
      </c>
      <c r="C124" s="23" t="s">
        <v>18</v>
      </c>
      <c r="D124" s="20">
        <v>368</v>
      </c>
      <c r="E124" s="21">
        <v>905</v>
      </c>
      <c r="F124" s="20">
        <v>143</v>
      </c>
      <c r="G124" s="20">
        <v>11</v>
      </c>
      <c r="H124" s="21">
        <v>500</v>
      </c>
      <c r="I124" s="13">
        <v>143</v>
      </c>
      <c r="J124" s="14">
        <f t="shared" si="5"/>
        <v>379</v>
      </c>
      <c r="K124" s="15">
        <f t="shared" si="6"/>
        <v>129415</v>
      </c>
      <c r="L124" s="41">
        <f>(1-$Q$2)*(E124+H124)*Sheet2!I5</f>
        <v>0</v>
      </c>
      <c r="M124" s="15">
        <f t="shared" si="8"/>
        <v>129415</v>
      </c>
      <c r="U124" s="17"/>
      <c r="V124" s="22"/>
    </row>
    <row r="125" spans="1:22" x14ac:dyDescent="0.3">
      <c r="A125" s="8" t="s">
        <v>31</v>
      </c>
      <c r="B125" s="9" t="s">
        <v>19</v>
      </c>
      <c r="C125" s="10" t="s">
        <v>16</v>
      </c>
      <c r="D125" s="11">
        <v>107</v>
      </c>
      <c r="E125" s="12">
        <v>996</v>
      </c>
      <c r="F125" s="11">
        <v>41</v>
      </c>
      <c r="G125" s="11">
        <v>3</v>
      </c>
      <c r="H125" s="12">
        <v>700</v>
      </c>
      <c r="I125" s="13">
        <v>40</v>
      </c>
      <c r="J125" s="14">
        <f t="shared" si="5"/>
        <v>110</v>
      </c>
      <c r="K125" s="15">
        <f t="shared" si="6"/>
        <v>39840</v>
      </c>
      <c r="L125" s="41">
        <f>(1-$Q$2)*(E125+H125)*Sheet2!I6</f>
        <v>0</v>
      </c>
      <c r="M125" s="15">
        <f t="shared" si="8"/>
        <v>39840</v>
      </c>
      <c r="U125" s="17"/>
      <c r="V125" s="22"/>
    </row>
    <row r="126" spans="1:22" x14ac:dyDescent="0.3">
      <c r="A126" s="18" t="s">
        <v>31</v>
      </c>
      <c r="B126" s="9" t="s">
        <v>19</v>
      </c>
      <c r="C126" s="19" t="s">
        <v>17</v>
      </c>
      <c r="D126" s="20">
        <v>107</v>
      </c>
      <c r="E126" s="21">
        <v>1306</v>
      </c>
      <c r="F126" s="20">
        <v>27</v>
      </c>
      <c r="G126" s="20">
        <v>3</v>
      </c>
      <c r="H126" s="21">
        <v>700</v>
      </c>
      <c r="I126" s="13">
        <v>27</v>
      </c>
      <c r="J126" s="14">
        <f t="shared" si="5"/>
        <v>110</v>
      </c>
      <c r="K126" s="15">
        <f t="shared" si="6"/>
        <v>35262</v>
      </c>
      <c r="L126" s="41">
        <f>(1-$Q$2)*(E126+H126)*Sheet2!I7</f>
        <v>0</v>
      </c>
      <c r="M126" s="15">
        <f t="shared" si="8"/>
        <v>35262</v>
      </c>
      <c r="U126" s="17"/>
      <c r="V126" s="22"/>
    </row>
    <row r="127" spans="1:22" x14ac:dyDescent="0.3">
      <c r="A127" s="8" t="s">
        <v>31</v>
      </c>
      <c r="B127" s="9" t="s">
        <v>19</v>
      </c>
      <c r="C127" s="23" t="s">
        <v>18</v>
      </c>
      <c r="D127" s="11">
        <v>107</v>
      </c>
      <c r="E127" s="12">
        <v>1107</v>
      </c>
      <c r="F127" s="11">
        <v>40</v>
      </c>
      <c r="G127" s="11">
        <v>3</v>
      </c>
      <c r="H127" s="12">
        <v>700</v>
      </c>
      <c r="I127" s="13">
        <v>40</v>
      </c>
      <c r="J127" s="14">
        <f t="shared" si="5"/>
        <v>110</v>
      </c>
      <c r="K127" s="15">
        <f t="shared" si="6"/>
        <v>44280</v>
      </c>
      <c r="L127" s="41">
        <f>(1-$Q$2)*(E127+H127)*Sheet2!I8</f>
        <v>0</v>
      </c>
      <c r="M127" s="15">
        <f t="shared" si="8"/>
        <v>44280</v>
      </c>
      <c r="U127" s="17"/>
      <c r="V127" s="22"/>
    </row>
    <row r="128" spans="1:22" x14ac:dyDescent="0.3">
      <c r="A128" s="18" t="s">
        <v>31</v>
      </c>
      <c r="B128" s="25" t="s">
        <v>21</v>
      </c>
      <c r="C128" s="10" t="s">
        <v>16</v>
      </c>
      <c r="D128" s="20">
        <v>385</v>
      </c>
      <c r="E128" s="21">
        <v>471</v>
      </c>
      <c r="F128" s="20">
        <v>151</v>
      </c>
      <c r="G128" s="20">
        <v>12</v>
      </c>
      <c r="H128" s="21">
        <v>250</v>
      </c>
      <c r="I128" s="13">
        <v>139</v>
      </c>
      <c r="J128" s="14">
        <f t="shared" si="5"/>
        <v>397</v>
      </c>
      <c r="K128" s="15">
        <f t="shared" si="6"/>
        <v>65469</v>
      </c>
      <c r="L128" s="41">
        <f>(1-$Q$2)*(E128+H128)*Sheet2!I9</f>
        <v>0</v>
      </c>
      <c r="M128" s="15">
        <f t="shared" si="8"/>
        <v>65469</v>
      </c>
      <c r="U128" s="17"/>
      <c r="V128" s="22"/>
    </row>
    <row r="129" spans="1:22" x14ac:dyDescent="0.3">
      <c r="A129" s="8" t="s">
        <v>31</v>
      </c>
      <c r="B129" s="25" t="s">
        <v>21</v>
      </c>
      <c r="C129" s="19" t="s">
        <v>17</v>
      </c>
      <c r="D129" s="11">
        <v>385</v>
      </c>
      <c r="E129" s="12">
        <v>617</v>
      </c>
      <c r="F129" s="11">
        <v>99</v>
      </c>
      <c r="G129" s="11">
        <v>12</v>
      </c>
      <c r="H129" s="12">
        <v>250</v>
      </c>
      <c r="I129" s="13">
        <v>99</v>
      </c>
      <c r="J129" s="14">
        <f t="shared" si="5"/>
        <v>397</v>
      </c>
      <c r="K129" s="15">
        <f t="shared" si="6"/>
        <v>61083</v>
      </c>
      <c r="L129" s="41">
        <f>(1-$Q$2)*(E129+H129)*Sheet2!I10</f>
        <v>0</v>
      </c>
      <c r="M129" s="15">
        <f t="shared" si="8"/>
        <v>61083</v>
      </c>
      <c r="U129" s="17"/>
      <c r="V129" s="22"/>
    </row>
    <row r="130" spans="1:22" x14ac:dyDescent="0.3">
      <c r="A130" s="18" t="s">
        <v>31</v>
      </c>
      <c r="B130" s="25" t="s">
        <v>21</v>
      </c>
      <c r="C130" s="23" t="s">
        <v>18</v>
      </c>
      <c r="D130" s="20">
        <v>385</v>
      </c>
      <c r="E130" s="21">
        <v>523</v>
      </c>
      <c r="F130" s="20">
        <v>147</v>
      </c>
      <c r="G130" s="20">
        <v>12</v>
      </c>
      <c r="H130" s="21">
        <v>250</v>
      </c>
      <c r="I130" s="13">
        <v>147</v>
      </c>
      <c r="J130" s="14">
        <f t="shared" si="5"/>
        <v>397</v>
      </c>
      <c r="K130" s="15">
        <f t="shared" si="6"/>
        <v>76881</v>
      </c>
      <c r="L130" s="41">
        <f>(1-$Q$2)*(E130+H130)*Sheet2!I11</f>
        <v>0</v>
      </c>
      <c r="M130" s="15">
        <f t="shared" si="8"/>
        <v>76881</v>
      </c>
      <c r="U130" s="17"/>
      <c r="V130" s="22"/>
    </row>
    <row r="131" spans="1:22" x14ac:dyDescent="0.3">
      <c r="A131" s="8" t="s">
        <v>31</v>
      </c>
      <c r="B131" s="25" t="s">
        <v>22</v>
      </c>
      <c r="C131" s="10" t="s">
        <v>16</v>
      </c>
      <c r="D131" s="11">
        <v>250</v>
      </c>
      <c r="E131" s="12">
        <v>634</v>
      </c>
      <c r="F131" s="11">
        <v>91</v>
      </c>
      <c r="G131" s="11">
        <v>6</v>
      </c>
      <c r="H131" s="12">
        <v>350</v>
      </c>
      <c r="I131" s="13">
        <v>91</v>
      </c>
      <c r="J131" s="14">
        <f t="shared" si="5"/>
        <v>256</v>
      </c>
      <c r="K131" s="15">
        <f t="shared" si="6"/>
        <v>57694</v>
      </c>
      <c r="L131" s="41">
        <f>(1-$Q$2)*(E131+H131)*Sheet2!I12</f>
        <v>0</v>
      </c>
      <c r="M131" s="15">
        <f t="shared" si="8"/>
        <v>57694</v>
      </c>
      <c r="U131" s="17"/>
      <c r="V131" s="22"/>
    </row>
    <row r="132" spans="1:22" x14ac:dyDescent="0.3">
      <c r="A132" s="18" t="s">
        <v>31</v>
      </c>
      <c r="B132" s="25" t="s">
        <v>22</v>
      </c>
      <c r="C132" s="19" t="s">
        <v>17</v>
      </c>
      <c r="D132" s="20">
        <v>250</v>
      </c>
      <c r="E132" s="21">
        <v>831</v>
      </c>
      <c r="F132" s="20">
        <v>60</v>
      </c>
      <c r="G132" s="20">
        <v>6</v>
      </c>
      <c r="H132" s="21">
        <v>350</v>
      </c>
      <c r="I132" s="13">
        <v>60</v>
      </c>
      <c r="J132" s="14">
        <f t="shared" si="5"/>
        <v>256</v>
      </c>
      <c r="K132" s="15">
        <f t="shared" si="6"/>
        <v>49860</v>
      </c>
      <c r="L132" s="41">
        <f>(1-$Q$2)*(E132+H132)*Sheet2!I13</f>
        <v>0</v>
      </c>
      <c r="M132" s="15">
        <f t="shared" si="8"/>
        <v>49860</v>
      </c>
      <c r="U132" s="17"/>
      <c r="V132" s="22"/>
    </row>
    <row r="133" spans="1:22" x14ac:dyDescent="0.3">
      <c r="A133" s="8" t="s">
        <v>31</v>
      </c>
      <c r="B133" s="25" t="s">
        <v>22</v>
      </c>
      <c r="C133" s="23" t="s">
        <v>18</v>
      </c>
      <c r="D133" s="11">
        <v>250</v>
      </c>
      <c r="E133" s="12">
        <v>704</v>
      </c>
      <c r="F133" s="11">
        <v>89</v>
      </c>
      <c r="G133" s="11">
        <v>6</v>
      </c>
      <c r="H133" s="12">
        <v>350</v>
      </c>
      <c r="I133" s="13">
        <v>89</v>
      </c>
      <c r="J133" s="14">
        <f t="shared" ref="J133:J196" si="10">D133+G133</f>
        <v>256</v>
      </c>
      <c r="K133" s="15">
        <f t="shared" ref="K133:K196" si="11">I133*E133</f>
        <v>62656</v>
      </c>
      <c r="L133" s="41">
        <f>(1-$Q$2)*(E133+H133)*Sheet2!I14</f>
        <v>0</v>
      </c>
      <c r="M133" s="15">
        <f t="shared" ref="M133:M196" si="12">K133-L133</f>
        <v>62656</v>
      </c>
      <c r="U133" s="17"/>
      <c r="V133" s="22"/>
    </row>
    <row r="134" spans="1:22" x14ac:dyDescent="0.3">
      <c r="A134" s="18" t="s">
        <v>31</v>
      </c>
      <c r="B134" s="24" t="s">
        <v>25</v>
      </c>
      <c r="C134" s="10" t="s">
        <v>16</v>
      </c>
      <c r="D134" s="20">
        <v>64</v>
      </c>
      <c r="E134" s="21">
        <v>2535</v>
      </c>
      <c r="F134" s="20">
        <v>22</v>
      </c>
      <c r="G134" s="20">
        <v>1</v>
      </c>
      <c r="H134" s="21">
        <v>1300</v>
      </c>
      <c r="I134" s="13">
        <v>22</v>
      </c>
      <c r="J134" s="14">
        <f t="shared" si="10"/>
        <v>65</v>
      </c>
      <c r="K134" s="15">
        <f t="shared" si="11"/>
        <v>55770</v>
      </c>
      <c r="L134" s="41">
        <f>(1-$Q$2)*(E134+H134)*Sheet2!I15</f>
        <v>0</v>
      </c>
      <c r="M134" s="15">
        <f t="shared" si="12"/>
        <v>55770</v>
      </c>
      <c r="U134" s="17"/>
      <c r="V134" s="22"/>
    </row>
    <row r="135" spans="1:22" x14ac:dyDescent="0.3">
      <c r="A135" s="8" t="s">
        <v>31</v>
      </c>
      <c r="B135" s="24" t="s">
        <v>25</v>
      </c>
      <c r="C135" s="19" t="s">
        <v>17</v>
      </c>
      <c r="D135" s="11">
        <v>64</v>
      </c>
      <c r="E135" s="12">
        <v>3324</v>
      </c>
      <c r="F135" s="11">
        <v>15</v>
      </c>
      <c r="G135" s="11">
        <v>1</v>
      </c>
      <c r="H135" s="12">
        <v>1300</v>
      </c>
      <c r="I135" s="13">
        <v>15</v>
      </c>
      <c r="J135" s="14">
        <f t="shared" si="10"/>
        <v>65</v>
      </c>
      <c r="K135" s="15">
        <f t="shared" si="11"/>
        <v>49860</v>
      </c>
      <c r="L135" s="41">
        <f>(1-$Q$2)*(E135+H135)*Sheet2!I16</f>
        <v>0</v>
      </c>
      <c r="M135" s="15">
        <f t="shared" si="12"/>
        <v>49860</v>
      </c>
      <c r="U135" s="17"/>
      <c r="V135" s="22"/>
    </row>
    <row r="136" spans="1:22" x14ac:dyDescent="0.3">
      <c r="A136" s="18" t="s">
        <v>31</v>
      </c>
      <c r="B136" s="24" t="s">
        <v>25</v>
      </c>
      <c r="C136" s="23" t="s">
        <v>18</v>
      </c>
      <c r="D136" s="20">
        <v>64</v>
      </c>
      <c r="E136" s="21">
        <v>2817</v>
      </c>
      <c r="F136" s="20">
        <v>22</v>
      </c>
      <c r="G136" s="20">
        <v>1</v>
      </c>
      <c r="H136" s="21">
        <v>1300</v>
      </c>
      <c r="I136" s="13">
        <v>22</v>
      </c>
      <c r="J136" s="14">
        <f t="shared" si="10"/>
        <v>65</v>
      </c>
      <c r="K136" s="15">
        <f t="shared" si="11"/>
        <v>61974</v>
      </c>
      <c r="L136" s="41">
        <f>(1-$Q$2)*(E136+H136)*Sheet2!I17</f>
        <v>0</v>
      </c>
      <c r="M136" s="15">
        <f t="shared" si="12"/>
        <v>61974</v>
      </c>
      <c r="U136" s="17"/>
      <c r="V136" s="22"/>
    </row>
    <row r="137" spans="1:22" x14ac:dyDescent="0.3">
      <c r="A137" s="8" t="s">
        <v>32</v>
      </c>
      <c r="B137" s="9" t="s">
        <v>15</v>
      </c>
      <c r="C137" s="10" t="s">
        <v>16</v>
      </c>
      <c r="D137" s="11">
        <v>380</v>
      </c>
      <c r="E137" s="12">
        <v>815</v>
      </c>
      <c r="F137" s="11">
        <v>152</v>
      </c>
      <c r="G137" s="11">
        <v>11</v>
      </c>
      <c r="H137" s="12">
        <v>500</v>
      </c>
      <c r="I137" s="13">
        <v>132</v>
      </c>
      <c r="J137" s="14">
        <f t="shared" si="10"/>
        <v>391</v>
      </c>
      <c r="K137" s="15">
        <f t="shared" si="11"/>
        <v>107580</v>
      </c>
      <c r="L137" s="41">
        <f>(1-$Q$2)*(E137+H137)*Sheet2!I18</f>
        <v>0</v>
      </c>
      <c r="M137" s="15">
        <f t="shared" si="12"/>
        <v>107580</v>
      </c>
      <c r="U137" s="17"/>
      <c r="V137" s="22"/>
    </row>
    <row r="138" spans="1:22" x14ac:dyDescent="0.3">
      <c r="A138" s="18" t="s">
        <v>32</v>
      </c>
      <c r="B138" s="9" t="s">
        <v>15</v>
      </c>
      <c r="C138" s="19" t="s">
        <v>17</v>
      </c>
      <c r="D138" s="20">
        <v>380</v>
      </c>
      <c r="E138" s="21">
        <v>1068</v>
      </c>
      <c r="F138" s="20">
        <v>100</v>
      </c>
      <c r="G138" s="20">
        <v>11</v>
      </c>
      <c r="H138" s="21">
        <v>500</v>
      </c>
      <c r="I138" s="13">
        <v>100</v>
      </c>
      <c r="J138" s="14">
        <f t="shared" si="10"/>
        <v>391</v>
      </c>
      <c r="K138" s="15">
        <f t="shared" si="11"/>
        <v>106800</v>
      </c>
      <c r="L138" s="41">
        <f>(1-$Q$2)*(E138+H138)*Sheet2!I19</f>
        <v>0</v>
      </c>
      <c r="M138" s="15">
        <f t="shared" si="12"/>
        <v>106800</v>
      </c>
      <c r="U138" s="17"/>
      <c r="V138" s="22"/>
    </row>
    <row r="139" spans="1:22" x14ac:dyDescent="0.3">
      <c r="A139" s="8" t="s">
        <v>32</v>
      </c>
      <c r="B139" s="9" t="s">
        <v>15</v>
      </c>
      <c r="C139" s="23" t="s">
        <v>18</v>
      </c>
      <c r="D139" s="11">
        <v>380</v>
      </c>
      <c r="E139" s="12">
        <v>905</v>
      </c>
      <c r="F139" s="11">
        <v>148</v>
      </c>
      <c r="G139" s="11">
        <v>11</v>
      </c>
      <c r="H139" s="12">
        <v>500</v>
      </c>
      <c r="I139" s="13">
        <v>148</v>
      </c>
      <c r="J139" s="14">
        <f t="shared" si="10"/>
        <v>391</v>
      </c>
      <c r="K139" s="15">
        <f t="shared" si="11"/>
        <v>133940</v>
      </c>
      <c r="L139" s="41">
        <f>(1-$Q$2)*(E139+H139)*Sheet2!I20</f>
        <v>0</v>
      </c>
      <c r="M139" s="15">
        <f t="shared" si="12"/>
        <v>133940</v>
      </c>
      <c r="U139" s="17"/>
      <c r="V139" s="22"/>
    </row>
    <row r="140" spans="1:22" x14ac:dyDescent="0.3">
      <c r="A140" s="18" t="s">
        <v>32</v>
      </c>
      <c r="B140" s="9" t="s">
        <v>19</v>
      </c>
      <c r="C140" s="10" t="s">
        <v>16</v>
      </c>
      <c r="D140" s="20">
        <v>32</v>
      </c>
      <c r="E140" s="21">
        <v>996</v>
      </c>
      <c r="F140" s="20">
        <v>12</v>
      </c>
      <c r="G140" s="20">
        <v>1</v>
      </c>
      <c r="H140" s="21">
        <v>700</v>
      </c>
      <c r="I140" s="13">
        <v>12</v>
      </c>
      <c r="J140" s="14">
        <f t="shared" si="10"/>
        <v>33</v>
      </c>
      <c r="K140" s="15">
        <f t="shared" si="11"/>
        <v>11952</v>
      </c>
      <c r="L140" s="41">
        <f>(1-$Q$2)*(E140+H140)*Sheet2!I21</f>
        <v>0</v>
      </c>
      <c r="M140" s="15">
        <f t="shared" si="12"/>
        <v>11952</v>
      </c>
      <c r="U140" s="17"/>
      <c r="V140" s="22"/>
    </row>
    <row r="141" spans="1:22" x14ac:dyDescent="0.3">
      <c r="A141" s="8" t="s">
        <v>32</v>
      </c>
      <c r="B141" s="9" t="s">
        <v>19</v>
      </c>
      <c r="C141" s="19" t="s">
        <v>17</v>
      </c>
      <c r="D141" s="11">
        <v>32</v>
      </c>
      <c r="E141" s="12">
        <v>1306</v>
      </c>
      <c r="F141" s="11">
        <v>8</v>
      </c>
      <c r="G141" s="11">
        <v>1</v>
      </c>
      <c r="H141" s="12">
        <v>700</v>
      </c>
      <c r="I141" s="13">
        <v>8</v>
      </c>
      <c r="J141" s="14">
        <f t="shared" si="10"/>
        <v>33</v>
      </c>
      <c r="K141" s="15">
        <f t="shared" si="11"/>
        <v>10448</v>
      </c>
      <c r="L141" s="41">
        <f>(1-$Q$2)*(E141+H141)*Sheet2!I22</f>
        <v>0</v>
      </c>
      <c r="M141" s="15">
        <f t="shared" si="12"/>
        <v>10448</v>
      </c>
      <c r="U141" s="17"/>
      <c r="V141" s="22"/>
    </row>
    <row r="142" spans="1:22" x14ac:dyDescent="0.3">
      <c r="A142" s="18" t="s">
        <v>32</v>
      </c>
      <c r="B142" s="9" t="s">
        <v>19</v>
      </c>
      <c r="C142" s="23" t="s">
        <v>18</v>
      </c>
      <c r="D142" s="20">
        <v>32</v>
      </c>
      <c r="E142" s="21">
        <v>1107</v>
      </c>
      <c r="F142" s="20">
        <v>12</v>
      </c>
      <c r="G142" s="20">
        <v>1</v>
      </c>
      <c r="H142" s="21">
        <v>700</v>
      </c>
      <c r="I142" s="13">
        <v>12</v>
      </c>
      <c r="J142" s="14">
        <f t="shared" si="10"/>
        <v>33</v>
      </c>
      <c r="K142" s="15">
        <f t="shared" si="11"/>
        <v>13284</v>
      </c>
      <c r="L142" s="41">
        <f>(1-$Q$2)*(E142+H142)*Sheet2!I23</f>
        <v>0</v>
      </c>
      <c r="M142" s="15">
        <f t="shared" si="12"/>
        <v>13284</v>
      </c>
      <c r="U142" s="17"/>
      <c r="V142" s="22"/>
    </row>
    <row r="143" spans="1:22" x14ac:dyDescent="0.3">
      <c r="A143" s="8" t="s">
        <v>32</v>
      </c>
      <c r="B143" s="25" t="s">
        <v>21</v>
      </c>
      <c r="C143" s="10" t="s">
        <v>16</v>
      </c>
      <c r="D143" s="11">
        <v>293</v>
      </c>
      <c r="E143" s="12">
        <v>471</v>
      </c>
      <c r="F143" s="11">
        <v>115</v>
      </c>
      <c r="G143" s="11">
        <v>9</v>
      </c>
      <c r="H143" s="12">
        <v>250</v>
      </c>
      <c r="I143" s="13">
        <v>115</v>
      </c>
      <c r="J143" s="14">
        <f t="shared" si="10"/>
        <v>302</v>
      </c>
      <c r="K143" s="15">
        <f t="shared" si="11"/>
        <v>54165</v>
      </c>
      <c r="L143" s="41">
        <f>(1-$Q$2)*(E143+H143)*Sheet2!I24</f>
        <v>0</v>
      </c>
      <c r="M143" s="15">
        <f t="shared" si="12"/>
        <v>54165</v>
      </c>
      <c r="U143" s="17"/>
      <c r="V143" s="22"/>
    </row>
    <row r="144" spans="1:22" x14ac:dyDescent="0.3">
      <c r="A144" s="18" t="s">
        <v>32</v>
      </c>
      <c r="B144" s="25" t="s">
        <v>21</v>
      </c>
      <c r="C144" s="19" t="s">
        <v>17</v>
      </c>
      <c r="D144" s="20">
        <v>293</v>
      </c>
      <c r="E144" s="21">
        <v>617</v>
      </c>
      <c r="F144" s="20">
        <v>75</v>
      </c>
      <c r="G144" s="20">
        <v>9</v>
      </c>
      <c r="H144" s="21">
        <v>250</v>
      </c>
      <c r="I144" s="13">
        <v>75</v>
      </c>
      <c r="J144" s="14">
        <f t="shared" si="10"/>
        <v>302</v>
      </c>
      <c r="K144" s="15">
        <f t="shared" si="11"/>
        <v>46275</v>
      </c>
      <c r="L144" s="41">
        <f>(1-$Q$2)*(E144+H144)*Sheet2!I25</f>
        <v>0</v>
      </c>
      <c r="M144" s="15">
        <f t="shared" si="12"/>
        <v>46275</v>
      </c>
      <c r="U144" s="17"/>
      <c r="V144" s="22"/>
    </row>
    <row r="145" spans="1:22" x14ac:dyDescent="0.3">
      <c r="A145" s="8" t="s">
        <v>32</v>
      </c>
      <c r="B145" s="25" t="s">
        <v>21</v>
      </c>
      <c r="C145" s="23" t="s">
        <v>18</v>
      </c>
      <c r="D145" s="11">
        <v>293</v>
      </c>
      <c r="E145" s="12">
        <v>523</v>
      </c>
      <c r="F145" s="11">
        <v>112</v>
      </c>
      <c r="G145" s="11">
        <v>9</v>
      </c>
      <c r="H145" s="12">
        <v>250</v>
      </c>
      <c r="I145" s="13">
        <v>112</v>
      </c>
      <c r="J145" s="14">
        <f t="shared" si="10"/>
        <v>302</v>
      </c>
      <c r="K145" s="15">
        <f t="shared" si="11"/>
        <v>58576</v>
      </c>
      <c r="L145" s="41">
        <f>(1-$Q$2)*(E145+H145)*Sheet2!I26</f>
        <v>0</v>
      </c>
      <c r="M145" s="15">
        <f t="shared" si="12"/>
        <v>58576</v>
      </c>
      <c r="U145" s="17"/>
      <c r="V145" s="22"/>
    </row>
    <row r="146" spans="1:22" x14ac:dyDescent="0.3">
      <c r="A146" s="18" t="s">
        <v>32</v>
      </c>
      <c r="B146" s="25" t="s">
        <v>22</v>
      </c>
      <c r="C146" s="10" t="s">
        <v>16</v>
      </c>
      <c r="D146" s="20">
        <v>243</v>
      </c>
      <c r="E146" s="21">
        <v>634</v>
      </c>
      <c r="F146" s="20">
        <v>89</v>
      </c>
      <c r="G146" s="20">
        <v>6</v>
      </c>
      <c r="H146" s="21">
        <v>350</v>
      </c>
      <c r="I146" s="13">
        <v>89</v>
      </c>
      <c r="J146" s="14">
        <f t="shared" si="10"/>
        <v>249</v>
      </c>
      <c r="K146" s="15">
        <f t="shared" si="11"/>
        <v>56426</v>
      </c>
      <c r="L146" s="41">
        <f>(1-$Q$2)*(E146+H146)*Sheet2!I27</f>
        <v>0</v>
      </c>
      <c r="M146" s="15">
        <f t="shared" si="12"/>
        <v>56426</v>
      </c>
      <c r="U146" s="17"/>
      <c r="V146" s="22"/>
    </row>
    <row r="147" spans="1:22" x14ac:dyDescent="0.3">
      <c r="A147" s="8" t="s">
        <v>32</v>
      </c>
      <c r="B147" s="25" t="s">
        <v>22</v>
      </c>
      <c r="C147" s="19" t="s">
        <v>17</v>
      </c>
      <c r="D147" s="11">
        <v>243</v>
      </c>
      <c r="E147" s="12">
        <v>831</v>
      </c>
      <c r="F147" s="11">
        <v>58</v>
      </c>
      <c r="G147" s="11">
        <v>6</v>
      </c>
      <c r="H147" s="12">
        <v>350</v>
      </c>
      <c r="I147" s="13">
        <v>58</v>
      </c>
      <c r="J147" s="14">
        <f t="shared" si="10"/>
        <v>249</v>
      </c>
      <c r="K147" s="15">
        <f t="shared" si="11"/>
        <v>48198</v>
      </c>
      <c r="L147" s="41">
        <f>(1-$Q$2)*(E147+H147)*Sheet2!I28</f>
        <v>0</v>
      </c>
      <c r="M147" s="15">
        <f t="shared" si="12"/>
        <v>48198</v>
      </c>
      <c r="U147" s="17"/>
      <c r="V147" s="22"/>
    </row>
    <row r="148" spans="1:22" x14ac:dyDescent="0.3">
      <c r="A148" s="18" t="s">
        <v>32</v>
      </c>
      <c r="B148" s="25" t="s">
        <v>22</v>
      </c>
      <c r="C148" s="23" t="s">
        <v>18</v>
      </c>
      <c r="D148" s="20">
        <v>243</v>
      </c>
      <c r="E148" s="21">
        <v>704</v>
      </c>
      <c r="F148" s="20">
        <v>86</v>
      </c>
      <c r="G148" s="20">
        <v>6</v>
      </c>
      <c r="H148" s="21">
        <v>350</v>
      </c>
      <c r="I148" s="13">
        <v>86</v>
      </c>
      <c r="J148" s="14">
        <f t="shared" si="10"/>
        <v>249</v>
      </c>
      <c r="K148" s="15">
        <f t="shared" si="11"/>
        <v>60544</v>
      </c>
      <c r="L148" s="41">
        <f>(1-$Q$2)*(E148+H148)*Sheet2!I29</f>
        <v>0</v>
      </c>
      <c r="M148" s="15">
        <f t="shared" si="12"/>
        <v>60544</v>
      </c>
      <c r="U148" s="17"/>
      <c r="V148" s="22"/>
    </row>
    <row r="149" spans="1:22" x14ac:dyDescent="0.3">
      <c r="A149" s="8" t="s">
        <v>32</v>
      </c>
      <c r="B149" s="24" t="s">
        <v>25</v>
      </c>
      <c r="C149" s="10" t="s">
        <v>16</v>
      </c>
      <c r="D149" s="11">
        <v>20</v>
      </c>
      <c r="E149" s="12">
        <v>2535</v>
      </c>
      <c r="F149" s="11">
        <v>7</v>
      </c>
      <c r="G149" s="11">
        <v>0</v>
      </c>
      <c r="H149" s="12">
        <v>1300</v>
      </c>
      <c r="I149" s="13">
        <v>7</v>
      </c>
      <c r="J149" s="14">
        <f t="shared" si="10"/>
        <v>20</v>
      </c>
      <c r="K149" s="15">
        <f t="shared" si="11"/>
        <v>17745</v>
      </c>
      <c r="L149" s="41">
        <f>(1-$Q$2)*(E149+H149)*Sheet2!I30</f>
        <v>0</v>
      </c>
      <c r="M149" s="15">
        <f t="shared" si="12"/>
        <v>17745</v>
      </c>
      <c r="U149" s="17"/>
      <c r="V149" s="22"/>
    </row>
    <row r="150" spans="1:22" x14ac:dyDescent="0.3">
      <c r="A150" s="18" t="s">
        <v>32</v>
      </c>
      <c r="B150" s="24" t="s">
        <v>25</v>
      </c>
      <c r="C150" s="19" t="s">
        <v>17</v>
      </c>
      <c r="D150" s="20">
        <v>20</v>
      </c>
      <c r="E150" s="21">
        <v>3324</v>
      </c>
      <c r="F150" s="20">
        <v>5</v>
      </c>
      <c r="G150" s="20">
        <v>0</v>
      </c>
      <c r="H150" s="21">
        <v>1300</v>
      </c>
      <c r="I150" s="13">
        <v>5</v>
      </c>
      <c r="J150" s="14">
        <f t="shared" si="10"/>
        <v>20</v>
      </c>
      <c r="K150" s="15">
        <f t="shared" si="11"/>
        <v>16620</v>
      </c>
      <c r="L150" s="41">
        <f>(1-$Q$2)*(E150+H150)*Sheet2!I31</f>
        <v>0</v>
      </c>
      <c r="M150" s="15">
        <f t="shared" si="12"/>
        <v>16620</v>
      </c>
      <c r="U150" s="17"/>
      <c r="V150" s="22"/>
    </row>
    <row r="151" spans="1:22" x14ac:dyDescent="0.3">
      <c r="A151" s="8" t="s">
        <v>32</v>
      </c>
      <c r="B151" s="24" t="s">
        <v>25</v>
      </c>
      <c r="C151" s="23" t="s">
        <v>18</v>
      </c>
      <c r="D151" s="11">
        <v>20</v>
      </c>
      <c r="E151" s="12">
        <v>2817</v>
      </c>
      <c r="F151" s="11">
        <v>7</v>
      </c>
      <c r="G151" s="11">
        <v>0</v>
      </c>
      <c r="H151" s="12">
        <v>1300</v>
      </c>
      <c r="I151" s="13">
        <v>7</v>
      </c>
      <c r="J151" s="14">
        <f t="shared" si="10"/>
        <v>20</v>
      </c>
      <c r="K151" s="15">
        <f t="shared" si="11"/>
        <v>19719</v>
      </c>
      <c r="L151" s="41">
        <f>(1-$Q$2)*(E151+H151)*Sheet2!I32</f>
        <v>0</v>
      </c>
      <c r="M151" s="15">
        <f t="shared" si="12"/>
        <v>19719</v>
      </c>
      <c r="U151" s="17"/>
      <c r="V151" s="22"/>
    </row>
    <row r="152" spans="1:22" x14ac:dyDescent="0.3">
      <c r="A152" s="18" t="s">
        <v>33</v>
      </c>
      <c r="B152" s="9" t="s">
        <v>15</v>
      </c>
      <c r="C152" s="10" t="s">
        <v>16</v>
      </c>
      <c r="D152" s="20">
        <v>943</v>
      </c>
      <c r="E152" s="21">
        <v>922</v>
      </c>
      <c r="F152" s="20">
        <v>376</v>
      </c>
      <c r="G152" s="20">
        <v>28</v>
      </c>
      <c r="H152" s="21">
        <v>500</v>
      </c>
      <c r="I152" s="13">
        <v>357</v>
      </c>
      <c r="J152" s="14">
        <f t="shared" si="10"/>
        <v>971</v>
      </c>
      <c r="K152" s="15">
        <f t="shared" si="11"/>
        <v>329154</v>
      </c>
      <c r="L152" s="41">
        <f>(1-$Q$2)*(E152+H152)*Sheet2!I33</f>
        <v>0</v>
      </c>
      <c r="M152" s="15">
        <f t="shared" si="12"/>
        <v>329154</v>
      </c>
      <c r="U152" s="17"/>
      <c r="V152" s="22"/>
    </row>
    <row r="153" spans="1:22" x14ac:dyDescent="0.3">
      <c r="A153" s="8" t="s">
        <v>33</v>
      </c>
      <c r="B153" s="9" t="s">
        <v>15</v>
      </c>
      <c r="C153" s="19" t="s">
        <v>17</v>
      </c>
      <c r="D153" s="11">
        <v>943</v>
      </c>
      <c r="E153" s="12">
        <v>1209</v>
      </c>
      <c r="F153" s="11">
        <v>248</v>
      </c>
      <c r="G153" s="11">
        <v>28</v>
      </c>
      <c r="H153" s="12">
        <v>500</v>
      </c>
      <c r="I153" s="13">
        <v>248</v>
      </c>
      <c r="J153" s="14">
        <f t="shared" si="10"/>
        <v>971</v>
      </c>
      <c r="K153" s="15">
        <f t="shared" si="11"/>
        <v>299832</v>
      </c>
      <c r="L153" s="41">
        <f>(1-$Q$2)*(E153+H153)*Sheet2!I34</f>
        <v>0</v>
      </c>
      <c r="M153" s="15">
        <f t="shared" si="12"/>
        <v>299832</v>
      </c>
      <c r="U153" s="17"/>
      <c r="V153" s="22"/>
    </row>
    <row r="154" spans="1:22" x14ac:dyDescent="0.3">
      <c r="A154" s="18" t="s">
        <v>33</v>
      </c>
      <c r="B154" s="9" t="s">
        <v>15</v>
      </c>
      <c r="C154" s="23" t="s">
        <v>18</v>
      </c>
      <c r="D154" s="20">
        <v>943</v>
      </c>
      <c r="E154" s="21">
        <v>1024</v>
      </c>
      <c r="F154" s="20">
        <v>366</v>
      </c>
      <c r="G154" s="20">
        <v>28</v>
      </c>
      <c r="H154" s="21">
        <v>500</v>
      </c>
      <c r="I154" s="13">
        <v>366</v>
      </c>
      <c r="J154" s="14">
        <f t="shared" si="10"/>
        <v>971</v>
      </c>
      <c r="K154" s="15">
        <f t="shared" si="11"/>
        <v>374784</v>
      </c>
      <c r="L154" s="41">
        <f>(1-$Q$2)*(E154+H154)*Sheet2!I35</f>
        <v>0</v>
      </c>
      <c r="M154" s="15">
        <f t="shared" si="12"/>
        <v>374784</v>
      </c>
      <c r="U154" s="17"/>
      <c r="V154" s="22"/>
    </row>
    <row r="155" spans="1:22" x14ac:dyDescent="0.3">
      <c r="A155" s="8" t="s">
        <v>33</v>
      </c>
      <c r="B155" s="9" t="s">
        <v>19</v>
      </c>
      <c r="C155" s="10" t="s">
        <v>16</v>
      </c>
      <c r="D155" s="11">
        <v>48</v>
      </c>
      <c r="E155" s="12">
        <v>1127</v>
      </c>
      <c r="F155" s="11">
        <v>19</v>
      </c>
      <c r="G155" s="11">
        <v>1</v>
      </c>
      <c r="H155" s="12">
        <v>700</v>
      </c>
      <c r="I155" s="13">
        <v>19</v>
      </c>
      <c r="J155" s="14">
        <f t="shared" si="10"/>
        <v>49</v>
      </c>
      <c r="K155" s="15">
        <f t="shared" si="11"/>
        <v>21413</v>
      </c>
      <c r="L155" s="41">
        <f>(1-$Q$2)*(E155+H155)*Sheet2!I36</f>
        <v>0</v>
      </c>
      <c r="M155" s="15">
        <f t="shared" si="12"/>
        <v>21413</v>
      </c>
      <c r="U155" s="17"/>
      <c r="V155" s="22"/>
    </row>
    <row r="156" spans="1:22" x14ac:dyDescent="0.3">
      <c r="A156" s="18" t="s">
        <v>33</v>
      </c>
      <c r="B156" s="9" t="s">
        <v>19</v>
      </c>
      <c r="C156" s="19" t="s">
        <v>17</v>
      </c>
      <c r="D156" s="20">
        <v>48</v>
      </c>
      <c r="E156" s="21">
        <v>1477</v>
      </c>
      <c r="F156" s="20">
        <v>12</v>
      </c>
      <c r="G156" s="20">
        <v>1</v>
      </c>
      <c r="H156" s="21">
        <v>700</v>
      </c>
      <c r="I156" s="13">
        <v>12</v>
      </c>
      <c r="J156" s="14">
        <f t="shared" si="10"/>
        <v>49</v>
      </c>
      <c r="K156" s="15">
        <f t="shared" si="11"/>
        <v>17724</v>
      </c>
      <c r="L156" s="41">
        <f>(1-$Q$2)*(E156+H156)*Sheet2!I37</f>
        <v>0</v>
      </c>
      <c r="M156" s="15">
        <f t="shared" si="12"/>
        <v>17724</v>
      </c>
      <c r="U156" s="17"/>
      <c r="V156" s="22"/>
    </row>
    <row r="157" spans="1:22" x14ac:dyDescent="0.3">
      <c r="A157" s="8" t="s">
        <v>33</v>
      </c>
      <c r="B157" s="9" t="s">
        <v>19</v>
      </c>
      <c r="C157" s="23" t="s">
        <v>18</v>
      </c>
      <c r="D157" s="11">
        <v>48</v>
      </c>
      <c r="E157" s="12">
        <v>1252</v>
      </c>
      <c r="F157" s="11">
        <v>18</v>
      </c>
      <c r="G157" s="11">
        <v>1</v>
      </c>
      <c r="H157" s="12">
        <v>700</v>
      </c>
      <c r="I157" s="13">
        <v>18</v>
      </c>
      <c r="J157" s="14">
        <f t="shared" si="10"/>
        <v>49</v>
      </c>
      <c r="K157" s="15">
        <f t="shared" si="11"/>
        <v>22536</v>
      </c>
      <c r="L157" s="41">
        <f>(1-$Q$2)*(E157+H157)*Sheet2!I38</f>
        <v>0</v>
      </c>
      <c r="M157" s="15">
        <f t="shared" si="12"/>
        <v>22536</v>
      </c>
      <c r="U157" s="17"/>
      <c r="V157" s="22"/>
    </row>
    <row r="158" spans="1:22" x14ac:dyDescent="0.3">
      <c r="A158" s="18" t="s">
        <v>33</v>
      </c>
      <c r="B158" s="24" t="s">
        <v>20</v>
      </c>
      <c r="C158" s="10" t="s">
        <v>16</v>
      </c>
      <c r="D158" s="20">
        <v>107</v>
      </c>
      <c r="E158" s="21">
        <v>5326</v>
      </c>
      <c r="F158" s="20">
        <v>36</v>
      </c>
      <c r="G158" s="20">
        <v>1</v>
      </c>
      <c r="H158" s="21">
        <v>2500</v>
      </c>
      <c r="I158" s="13">
        <v>36</v>
      </c>
      <c r="J158" s="14">
        <f t="shared" si="10"/>
        <v>108</v>
      </c>
      <c r="K158" s="15">
        <f t="shared" si="11"/>
        <v>191736</v>
      </c>
      <c r="L158" s="41">
        <f>(1-$Q$2)*(E158+H158)*Sheet2!I39</f>
        <v>0</v>
      </c>
      <c r="M158" s="15">
        <f t="shared" si="12"/>
        <v>191736</v>
      </c>
      <c r="U158" s="17"/>
      <c r="V158" s="22"/>
    </row>
    <row r="159" spans="1:22" x14ac:dyDescent="0.3">
      <c r="A159" s="8" t="s">
        <v>33</v>
      </c>
      <c r="B159" s="24" t="s">
        <v>20</v>
      </c>
      <c r="C159" s="19" t="s">
        <v>17</v>
      </c>
      <c r="D159" s="11">
        <v>107</v>
      </c>
      <c r="E159" s="12">
        <v>6983</v>
      </c>
      <c r="F159" s="11">
        <v>24</v>
      </c>
      <c r="G159" s="11">
        <v>1</v>
      </c>
      <c r="H159" s="12">
        <v>2500</v>
      </c>
      <c r="I159" s="13">
        <v>24</v>
      </c>
      <c r="J159" s="14">
        <f t="shared" si="10"/>
        <v>108</v>
      </c>
      <c r="K159" s="15">
        <f t="shared" si="11"/>
        <v>167592</v>
      </c>
      <c r="L159" s="41">
        <f>(1-$Q$2)*(E159+H159)*Sheet2!I40</f>
        <v>0</v>
      </c>
      <c r="M159" s="15">
        <f t="shared" si="12"/>
        <v>167592</v>
      </c>
      <c r="U159" s="17"/>
      <c r="V159" s="22"/>
    </row>
    <row r="160" spans="1:22" x14ac:dyDescent="0.3">
      <c r="A160" s="18" t="s">
        <v>33</v>
      </c>
      <c r="B160" s="24" t="s">
        <v>20</v>
      </c>
      <c r="C160" s="23" t="s">
        <v>18</v>
      </c>
      <c r="D160" s="20">
        <v>107</v>
      </c>
      <c r="E160" s="21">
        <v>5918</v>
      </c>
      <c r="F160" s="20">
        <v>35</v>
      </c>
      <c r="G160" s="20">
        <v>1</v>
      </c>
      <c r="H160" s="21">
        <v>2500</v>
      </c>
      <c r="I160" s="13">
        <v>35</v>
      </c>
      <c r="J160" s="14">
        <f t="shared" si="10"/>
        <v>108</v>
      </c>
      <c r="K160" s="15">
        <f t="shared" si="11"/>
        <v>207130</v>
      </c>
      <c r="L160" s="41">
        <f>(1-$Q$2)*(E160+H160)*Sheet2!I41</f>
        <v>0</v>
      </c>
      <c r="M160" s="15">
        <f t="shared" si="12"/>
        <v>207130</v>
      </c>
      <c r="U160" s="17"/>
      <c r="V160" s="22"/>
    </row>
    <row r="161" spans="1:22" x14ac:dyDescent="0.3">
      <c r="A161" s="8" t="s">
        <v>33</v>
      </c>
      <c r="B161" s="25" t="s">
        <v>21</v>
      </c>
      <c r="C161" s="10" t="s">
        <v>16</v>
      </c>
      <c r="D161" s="11">
        <v>272</v>
      </c>
      <c r="E161" s="12">
        <v>533</v>
      </c>
      <c r="F161" s="11">
        <v>106</v>
      </c>
      <c r="G161" s="11">
        <v>8</v>
      </c>
      <c r="H161" s="12">
        <v>250</v>
      </c>
      <c r="I161" s="13">
        <v>98</v>
      </c>
      <c r="J161" s="14">
        <f t="shared" si="10"/>
        <v>280</v>
      </c>
      <c r="K161" s="15">
        <f t="shared" si="11"/>
        <v>52234</v>
      </c>
      <c r="L161" s="41">
        <f>(1-$Q$2)*(E161+H161)*Sheet2!I42</f>
        <v>0</v>
      </c>
      <c r="M161" s="15">
        <f t="shared" si="12"/>
        <v>52234</v>
      </c>
      <c r="U161" s="17"/>
      <c r="V161" s="22"/>
    </row>
    <row r="162" spans="1:22" x14ac:dyDescent="0.3">
      <c r="A162" s="18" t="s">
        <v>33</v>
      </c>
      <c r="B162" s="25" t="s">
        <v>21</v>
      </c>
      <c r="C162" s="19" t="s">
        <v>17</v>
      </c>
      <c r="D162" s="20">
        <v>272</v>
      </c>
      <c r="E162" s="21">
        <v>698</v>
      </c>
      <c r="F162" s="20">
        <v>70</v>
      </c>
      <c r="G162" s="20">
        <v>8</v>
      </c>
      <c r="H162" s="21">
        <v>250</v>
      </c>
      <c r="I162" s="13">
        <v>70</v>
      </c>
      <c r="J162" s="14">
        <f t="shared" si="10"/>
        <v>280</v>
      </c>
      <c r="K162" s="15">
        <f t="shared" si="11"/>
        <v>48860</v>
      </c>
      <c r="L162" s="41">
        <f>(1-$Q$2)*(E162+H162)*Sheet2!I43</f>
        <v>0</v>
      </c>
      <c r="M162" s="15">
        <f t="shared" si="12"/>
        <v>48860</v>
      </c>
      <c r="U162" s="17"/>
      <c r="V162" s="22"/>
    </row>
    <row r="163" spans="1:22" x14ac:dyDescent="0.3">
      <c r="A163" s="8" t="s">
        <v>33</v>
      </c>
      <c r="B163" s="25" t="s">
        <v>21</v>
      </c>
      <c r="C163" s="23" t="s">
        <v>18</v>
      </c>
      <c r="D163" s="11">
        <v>272</v>
      </c>
      <c r="E163" s="12">
        <v>592</v>
      </c>
      <c r="F163" s="11">
        <v>104</v>
      </c>
      <c r="G163" s="11">
        <v>8</v>
      </c>
      <c r="H163" s="12">
        <v>250</v>
      </c>
      <c r="I163" s="13">
        <v>104</v>
      </c>
      <c r="J163" s="14">
        <f t="shared" si="10"/>
        <v>280</v>
      </c>
      <c r="K163" s="15">
        <f t="shared" si="11"/>
        <v>61568</v>
      </c>
      <c r="L163" s="41">
        <f>(1-$Q$2)*(E163+H163)*Sheet2!I44</f>
        <v>0</v>
      </c>
      <c r="M163" s="15">
        <f t="shared" si="12"/>
        <v>61568</v>
      </c>
      <c r="U163" s="17"/>
      <c r="V163" s="22"/>
    </row>
    <row r="164" spans="1:22" x14ac:dyDescent="0.3">
      <c r="A164" s="18" t="s">
        <v>33</v>
      </c>
      <c r="B164" s="25" t="s">
        <v>22</v>
      </c>
      <c r="C164" s="10" t="s">
        <v>16</v>
      </c>
      <c r="D164" s="20">
        <v>127</v>
      </c>
      <c r="E164" s="21">
        <v>717</v>
      </c>
      <c r="F164" s="20">
        <v>46</v>
      </c>
      <c r="G164" s="20">
        <v>3</v>
      </c>
      <c r="H164" s="21">
        <v>350</v>
      </c>
      <c r="I164" s="13">
        <v>46</v>
      </c>
      <c r="J164" s="14">
        <f t="shared" si="10"/>
        <v>130</v>
      </c>
      <c r="K164" s="15">
        <f t="shared" si="11"/>
        <v>32982</v>
      </c>
      <c r="L164" s="41">
        <f>(1-$Q$2)*(E164+H164)*Sheet2!I45</f>
        <v>0</v>
      </c>
      <c r="M164" s="15">
        <f t="shared" si="12"/>
        <v>32982</v>
      </c>
      <c r="U164" s="17"/>
      <c r="V164" s="22"/>
    </row>
    <row r="165" spans="1:22" x14ac:dyDescent="0.3">
      <c r="A165" s="8" t="s">
        <v>33</v>
      </c>
      <c r="B165" s="25" t="s">
        <v>22</v>
      </c>
      <c r="C165" s="19" t="s">
        <v>17</v>
      </c>
      <c r="D165" s="11">
        <v>127</v>
      </c>
      <c r="E165" s="12">
        <v>940</v>
      </c>
      <c r="F165" s="11">
        <v>30</v>
      </c>
      <c r="G165" s="11">
        <v>3</v>
      </c>
      <c r="H165" s="12">
        <v>350</v>
      </c>
      <c r="I165" s="13">
        <v>30</v>
      </c>
      <c r="J165" s="14">
        <f t="shared" si="10"/>
        <v>130</v>
      </c>
      <c r="K165" s="15">
        <f t="shared" si="11"/>
        <v>28200</v>
      </c>
      <c r="L165" s="41">
        <f>(1-$Q$2)*(E165+H165)*Sheet2!I46</f>
        <v>0</v>
      </c>
      <c r="M165" s="15">
        <f t="shared" si="12"/>
        <v>28200</v>
      </c>
      <c r="U165" s="17"/>
      <c r="V165" s="22"/>
    </row>
    <row r="166" spans="1:22" x14ac:dyDescent="0.3">
      <c r="A166" s="18" t="s">
        <v>33</v>
      </c>
      <c r="B166" s="25" t="s">
        <v>22</v>
      </c>
      <c r="C166" s="23" t="s">
        <v>18</v>
      </c>
      <c r="D166" s="20">
        <v>127</v>
      </c>
      <c r="E166" s="21">
        <v>797</v>
      </c>
      <c r="F166" s="20">
        <v>45</v>
      </c>
      <c r="G166" s="20">
        <v>3</v>
      </c>
      <c r="H166" s="21">
        <v>350</v>
      </c>
      <c r="I166" s="13">
        <v>45</v>
      </c>
      <c r="J166" s="14">
        <f t="shared" si="10"/>
        <v>130</v>
      </c>
      <c r="K166" s="15">
        <f t="shared" si="11"/>
        <v>35865</v>
      </c>
      <c r="L166" s="41">
        <f>(1-$Q$2)*(E166+H166)*Sheet2!I47</f>
        <v>0</v>
      </c>
      <c r="M166" s="15">
        <f t="shared" si="12"/>
        <v>35865</v>
      </c>
      <c r="U166" s="17"/>
      <c r="V166" s="22"/>
    </row>
    <row r="167" spans="1:22" x14ac:dyDescent="0.3">
      <c r="A167" s="8" t="s">
        <v>33</v>
      </c>
      <c r="B167" s="26" t="s">
        <v>23</v>
      </c>
      <c r="C167" s="10" t="s">
        <v>16</v>
      </c>
      <c r="D167" s="11">
        <v>73</v>
      </c>
      <c r="E167" s="12">
        <v>574</v>
      </c>
      <c r="F167" s="11">
        <v>25</v>
      </c>
      <c r="G167" s="11">
        <v>1</v>
      </c>
      <c r="H167" s="12">
        <v>220</v>
      </c>
      <c r="I167" s="13">
        <v>25</v>
      </c>
      <c r="J167" s="14">
        <f t="shared" si="10"/>
        <v>74</v>
      </c>
      <c r="K167" s="15">
        <f t="shared" si="11"/>
        <v>14350</v>
      </c>
      <c r="L167" s="41">
        <f>(1-$Q$2)*(E167+H167)*Sheet2!I48</f>
        <v>0</v>
      </c>
      <c r="M167" s="15">
        <f t="shared" si="12"/>
        <v>14350</v>
      </c>
      <c r="U167" s="17"/>
      <c r="V167" s="22"/>
    </row>
    <row r="168" spans="1:22" x14ac:dyDescent="0.3">
      <c r="A168" s="18" t="s">
        <v>33</v>
      </c>
      <c r="B168" s="26" t="s">
        <v>23</v>
      </c>
      <c r="C168" s="19" t="s">
        <v>17</v>
      </c>
      <c r="D168" s="20">
        <v>73</v>
      </c>
      <c r="E168" s="21">
        <v>752</v>
      </c>
      <c r="F168" s="20">
        <v>16</v>
      </c>
      <c r="G168" s="20">
        <v>1</v>
      </c>
      <c r="H168" s="21">
        <v>220</v>
      </c>
      <c r="I168" s="13">
        <v>16</v>
      </c>
      <c r="J168" s="14">
        <f t="shared" si="10"/>
        <v>74</v>
      </c>
      <c r="K168" s="15">
        <f t="shared" si="11"/>
        <v>12032</v>
      </c>
      <c r="L168" s="41">
        <f>(1-$Q$2)*(E168+H168)*Sheet2!I49</f>
        <v>0</v>
      </c>
      <c r="M168" s="15">
        <f t="shared" si="12"/>
        <v>12032</v>
      </c>
      <c r="U168" s="17"/>
      <c r="V168" s="22"/>
    </row>
    <row r="169" spans="1:22" x14ac:dyDescent="0.3">
      <c r="A169" s="8" t="s">
        <v>33</v>
      </c>
      <c r="B169" s="26" t="s">
        <v>23</v>
      </c>
      <c r="C169" s="23" t="s">
        <v>18</v>
      </c>
      <c r="D169" s="11">
        <v>73</v>
      </c>
      <c r="E169" s="12">
        <v>637</v>
      </c>
      <c r="F169" s="11">
        <v>24</v>
      </c>
      <c r="G169" s="11">
        <v>1</v>
      </c>
      <c r="H169" s="12">
        <v>220</v>
      </c>
      <c r="I169" s="13">
        <v>24</v>
      </c>
      <c r="J169" s="14">
        <f t="shared" si="10"/>
        <v>74</v>
      </c>
      <c r="K169" s="15">
        <f t="shared" si="11"/>
        <v>15288</v>
      </c>
      <c r="L169" s="41">
        <f>(1-$Q$2)*(E169+H169)*Sheet2!I50</f>
        <v>0</v>
      </c>
      <c r="M169" s="15">
        <f t="shared" si="12"/>
        <v>15288</v>
      </c>
      <c r="U169" s="17"/>
      <c r="V169" s="22"/>
    </row>
    <row r="170" spans="1:22" x14ac:dyDescent="0.3">
      <c r="A170" s="18" t="s">
        <v>33</v>
      </c>
      <c r="B170" s="24" t="s">
        <v>25</v>
      </c>
      <c r="C170" s="10" t="s">
        <v>16</v>
      </c>
      <c r="D170" s="20">
        <v>36</v>
      </c>
      <c r="E170" s="21">
        <v>2868</v>
      </c>
      <c r="F170" s="20">
        <v>13</v>
      </c>
      <c r="G170" s="20">
        <v>1</v>
      </c>
      <c r="H170" s="21">
        <v>1300</v>
      </c>
      <c r="I170" s="13">
        <v>13</v>
      </c>
      <c r="J170" s="14">
        <f t="shared" si="10"/>
        <v>37</v>
      </c>
      <c r="K170" s="15">
        <f t="shared" si="11"/>
        <v>37284</v>
      </c>
      <c r="L170" s="41">
        <f>(1-$Q$2)*(E170+H170)*Sheet2!I51</f>
        <v>0</v>
      </c>
      <c r="M170" s="15">
        <f t="shared" si="12"/>
        <v>37284</v>
      </c>
      <c r="U170" s="17"/>
      <c r="V170" s="22"/>
    </row>
    <row r="171" spans="1:22" x14ac:dyDescent="0.3">
      <c r="A171" s="8" t="s">
        <v>33</v>
      </c>
      <c r="B171" s="24" t="s">
        <v>25</v>
      </c>
      <c r="C171" s="19" t="s">
        <v>17</v>
      </c>
      <c r="D171" s="11">
        <v>36</v>
      </c>
      <c r="E171" s="12">
        <v>3760</v>
      </c>
      <c r="F171" s="11">
        <v>8</v>
      </c>
      <c r="G171" s="11">
        <v>1</v>
      </c>
      <c r="H171" s="12">
        <v>1300</v>
      </c>
      <c r="I171" s="13">
        <v>8</v>
      </c>
      <c r="J171" s="14">
        <f t="shared" si="10"/>
        <v>37</v>
      </c>
      <c r="K171" s="15">
        <f t="shared" si="11"/>
        <v>30080</v>
      </c>
      <c r="L171" s="41">
        <f>(1-$Q$2)*(E171+H171)*Sheet2!I52</f>
        <v>0</v>
      </c>
      <c r="M171" s="15">
        <f t="shared" si="12"/>
        <v>30080</v>
      </c>
      <c r="U171" s="17"/>
      <c r="V171" s="22"/>
    </row>
    <row r="172" spans="1:22" x14ac:dyDescent="0.3">
      <c r="A172" s="18" t="s">
        <v>33</v>
      </c>
      <c r="B172" s="24" t="s">
        <v>25</v>
      </c>
      <c r="C172" s="23" t="s">
        <v>18</v>
      </c>
      <c r="D172" s="20">
        <v>36</v>
      </c>
      <c r="E172" s="21">
        <v>3186</v>
      </c>
      <c r="F172" s="20">
        <v>12</v>
      </c>
      <c r="G172" s="20">
        <v>1</v>
      </c>
      <c r="H172" s="21">
        <v>1300</v>
      </c>
      <c r="I172" s="13">
        <v>12</v>
      </c>
      <c r="J172" s="14">
        <f t="shared" si="10"/>
        <v>37</v>
      </c>
      <c r="K172" s="15">
        <f t="shared" si="11"/>
        <v>38232</v>
      </c>
      <c r="L172" s="41">
        <f>(1-$Q$2)*(E172+H172)*Sheet2!I53</f>
        <v>0</v>
      </c>
      <c r="M172" s="15">
        <f t="shared" si="12"/>
        <v>38232</v>
      </c>
      <c r="U172" s="17"/>
      <c r="V172" s="22"/>
    </row>
    <row r="173" spans="1:22" x14ac:dyDescent="0.3">
      <c r="A173" s="8" t="s">
        <v>34</v>
      </c>
      <c r="B173" s="9" t="s">
        <v>15</v>
      </c>
      <c r="C173" s="10" t="s">
        <v>16</v>
      </c>
      <c r="D173" s="11">
        <v>613</v>
      </c>
      <c r="E173" s="12">
        <v>834</v>
      </c>
      <c r="F173" s="11">
        <v>245</v>
      </c>
      <c r="G173" s="11">
        <v>18</v>
      </c>
      <c r="H173" s="12">
        <v>500</v>
      </c>
      <c r="I173" s="13">
        <v>232</v>
      </c>
      <c r="J173" s="14">
        <f t="shared" si="10"/>
        <v>631</v>
      </c>
      <c r="K173" s="15">
        <f t="shared" si="11"/>
        <v>193488</v>
      </c>
      <c r="L173" s="41">
        <f>(1-$Q$2)*(E173+H173)*Sheet2!I54</f>
        <v>0</v>
      </c>
      <c r="M173" s="15">
        <f t="shared" si="12"/>
        <v>193488</v>
      </c>
      <c r="U173" s="17"/>
      <c r="V173" s="22"/>
    </row>
    <row r="174" spans="1:22" x14ac:dyDescent="0.3">
      <c r="A174" s="18" t="s">
        <v>34</v>
      </c>
      <c r="B174" s="9" t="s">
        <v>15</v>
      </c>
      <c r="C174" s="19" t="s">
        <v>17</v>
      </c>
      <c r="D174" s="20">
        <v>613</v>
      </c>
      <c r="E174" s="21">
        <v>1094</v>
      </c>
      <c r="F174" s="20">
        <v>161</v>
      </c>
      <c r="G174" s="20">
        <v>18</v>
      </c>
      <c r="H174" s="21">
        <v>500</v>
      </c>
      <c r="I174" s="13">
        <v>161</v>
      </c>
      <c r="J174" s="14">
        <f t="shared" si="10"/>
        <v>631</v>
      </c>
      <c r="K174" s="15">
        <f t="shared" si="11"/>
        <v>176134</v>
      </c>
      <c r="L174" s="41">
        <f>(1-$Q$2)*(E174+H174)*Sheet2!I55</f>
        <v>0</v>
      </c>
      <c r="M174" s="15">
        <f t="shared" si="12"/>
        <v>176134</v>
      </c>
      <c r="U174" s="17"/>
      <c r="V174" s="22"/>
    </row>
    <row r="175" spans="1:22" x14ac:dyDescent="0.3">
      <c r="A175" s="8" t="s">
        <v>34</v>
      </c>
      <c r="B175" s="9" t="s">
        <v>15</v>
      </c>
      <c r="C175" s="23" t="s">
        <v>18</v>
      </c>
      <c r="D175" s="11">
        <v>613</v>
      </c>
      <c r="E175" s="12">
        <v>927</v>
      </c>
      <c r="F175" s="11">
        <v>238</v>
      </c>
      <c r="G175" s="11">
        <v>18</v>
      </c>
      <c r="H175" s="12">
        <v>500</v>
      </c>
      <c r="I175" s="13">
        <v>238</v>
      </c>
      <c r="J175" s="14">
        <f t="shared" si="10"/>
        <v>631</v>
      </c>
      <c r="K175" s="15">
        <f t="shared" si="11"/>
        <v>220626</v>
      </c>
      <c r="L175" s="41">
        <f>(1-$Q$2)*(E175+H175)*Sheet2!I56</f>
        <v>0</v>
      </c>
      <c r="M175" s="15">
        <f t="shared" si="12"/>
        <v>220626</v>
      </c>
      <c r="U175" s="17"/>
      <c r="V175" s="22"/>
    </row>
    <row r="176" spans="1:22" x14ac:dyDescent="0.3">
      <c r="A176" s="18" t="s">
        <v>34</v>
      </c>
      <c r="B176" s="25" t="s">
        <v>21</v>
      </c>
      <c r="C176" s="10" t="s">
        <v>16</v>
      </c>
      <c r="D176" s="20">
        <v>224</v>
      </c>
      <c r="E176" s="21">
        <v>482</v>
      </c>
      <c r="F176" s="20">
        <v>88</v>
      </c>
      <c r="G176" s="20">
        <v>7</v>
      </c>
      <c r="H176" s="21">
        <v>250</v>
      </c>
      <c r="I176" s="13">
        <v>81</v>
      </c>
      <c r="J176" s="14">
        <f t="shared" si="10"/>
        <v>231</v>
      </c>
      <c r="K176" s="15">
        <f t="shared" si="11"/>
        <v>39042</v>
      </c>
      <c r="L176" s="41">
        <f>(1-$Q$2)*(E176+H176)*Sheet2!I57</f>
        <v>0</v>
      </c>
      <c r="M176" s="15">
        <f t="shared" si="12"/>
        <v>39042</v>
      </c>
      <c r="U176" s="17"/>
      <c r="V176" s="22"/>
    </row>
    <row r="177" spans="1:22" x14ac:dyDescent="0.3">
      <c r="A177" s="8" t="s">
        <v>34</v>
      </c>
      <c r="B177" s="25" t="s">
        <v>21</v>
      </c>
      <c r="C177" s="19" t="s">
        <v>17</v>
      </c>
      <c r="D177" s="11">
        <v>224</v>
      </c>
      <c r="E177" s="12">
        <v>632</v>
      </c>
      <c r="F177" s="11">
        <v>58</v>
      </c>
      <c r="G177" s="11">
        <v>7</v>
      </c>
      <c r="H177" s="12">
        <v>250</v>
      </c>
      <c r="I177" s="13">
        <v>58</v>
      </c>
      <c r="J177" s="14">
        <f t="shared" si="10"/>
        <v>231</v>
      </c>
      <c r="K177" s="15">
        <f t="shared" si="11"/>
        <v>36656</v>
      </c>
      <c r="L177" s="41">
        <f>(1-$Q$2)*(E177+H177)*Sheet2!I58</f>
        <v>0</v>
      </c>
      <c r="M177" s="15">
        <f t="shared" si="12"/>
        <v>36656</v>
      </c>
      <c r="U177" s="17"/>
      <c r="V177" s="22"/>
    </row>
    <row r="178" spans="1:22" x14ac:dyDescent="0.3">
      <c r="A178" s="18" t="s">
        <v>34</v>
      </c>
      <c r="B178" s="25" t="s">
        <v>21</v>
      </c>
      <c r="C178" s="23" t="s">
        <v>18</v>
      </c>
      <c r="D178" s="20">
        <v>224</v>
      </c>
      <c r="E178" s="21">
        <v>536</v>
      </c>
      <c r="F178" s="20">
        <v>85</v>
      </c>
      <c r="G178" s="20">
        <v>7</v>
      </c>
      <c r="H178" s="21">
        <v>250</v>
      </c>
      <c r="I178" s="13">
        <v>85</v>
      </c>
      <c r="J178" s="14">
        <f t="shared" si="10"/>
        <v>231</v>
      </c>
      <c r="K178" s="15">
        <f t="shared" si="11"/>
        <v>45560</v>
      </c>
      <c r="L178" s="41">
        <f>(1-$Q$2)*(E178+H178)*Sheet2!I59</f>
        <v>0</v>
      </c>
      <c r="M178" s="15">
        <f t="shared" si="12"/>
        <v>45560</v>
      </c>
      <c r="U178" s="17"/>
      <c r="V178" s="22"/>
    </row>
    <row r="179" spans="1:22" x14ac:dyDescent="0.3">
      <c r="A179" s="8" t="s">
        <v>34</v>
      </c>
      <c r="B179" s="25" t="s">
        <v>22</v>
      </c>
      <c r="C179" s="10" t="s">
        <v>16</v>
      </c>
      <c r="D179" s="11">
        <v>178</v>
      </c>
      <c r="E179" s="12">
        <v>649</v>
      </c>
      <c r="F179" s="11">
        <v>65</v>
      </c>
      <c r="G179" s="11">
        <v>4</v>
      </c>
      <c r="H179" s="12">
        <v>350</v>
      </c>
      <c r="I179" s="13">
        <v>65</v>
      </c>
      <c r="J179" s="14">
        <f t="shared" si="10"/>
        <v>182</v>
      </c>
      <c r="K179" s="15">
        <f t="shared" si="11"/>
        <v>42185</v>
      </c>
      <c r="L179" s="41">
        <f>(1-$Q$2)*(E179+H179)*Sheet2!I60</f>
        <v>0</v>
      </c>
      <c r="M179" s="15">
        <f t="shared" si="12"/>
        <v>42185</v>
      </c>
      <c r="U179" s="17"/>
      <c r="V179" s="22"/>
    </row>
    <row r="180" spans="1:22" x14ac:dyDescent="0.3">
      <c r="A180" s="18" t="s">
        <v>34</v>
      </c>
      <c r="B180" s="25" t="s">
        <v>22</v>
      </c>
      <c r="C180" s="19" t="s">
        <v>17</v>
      </c>
      <c r="D180" s="20">
        <v>178</v>
      </c>
      <c r="E180" s="21">
        <v>851</v>
      </c>
      <c r="F180" s="20">
        <v>43</v>
      </c>
      <c r="G180" s="20">
        <v>4</v>
      </c>
      <c r="H180" s="21">
        <v>350</v>
      </c>
      <c r="I180" s="13">
        <v>43</v>
      </c>
      <c r="J180" s="14">
        <f t="shared" si="10"/>
        <v>182</v>
      </c>
      <c r="K180" s="15">
        <f t="shared" si="11"/>
        <v>36593</v>
      </c>
      <c r="L180" s="41">
        <f>(1-$Q$2)*(E180+H180)*Sheet2!I61</f>
        <v>0</v>
      </c>
      <c r="M180" s="15">
        <f t="shared" si="12"/>
        <v>36593</v>
      </c>
      <c r="U180" s="17"/>
      <c r="V180" s="22"/>
    </row>
    <row r="181" spans="1:22" x14ac:dyDescent="0.3">
      <c r="A181" s="8" t="s">
        <v>34</v>
      </c>
      <c r="B181" s="25" t="s">
        <v>22</v>
      </c>
      <c r="C181" s="23" t="s">
        <v>18</v>
      </c>
      <c r="D181" s="11">
        <v>178</v>
      </c>
      <c r="E181" s="12">
        <v>721</v>
      </c>
      <c r="F181" s="11">
        <v>63</v>
      </c>
      <c r="G181" s="11">
        <v>4</v>
      </c>
      <c r="H181" s="12">
        <v>350</v>
      </c>
      <c r="I181" s="13">
        <v>63</v>
      </c>
      <c r="J181" s="14">
        <f t="shared" si="10"/>
        <v>182</v>
      </c>
      <c r="K181" s="15">
        <f t="shared" si="11"/>
        <v>45423</v>
      </c>
      <c r="L181" s="41">
        <f>(1-$Q$2)*(E181+H181)*Sheet2!I62</f>
        <v>0</v>
      </c>
      <c r="M181" s="15">
        <f t="shared" si="12"/>
        <v>45423</v>
      </c>
      <c r="U181" s="17"/>
      <c r="V181" s="22"/>
    </row>
    <row r="182" spans="1:22" x14ac:dyDescent="0.3">
      <c r="A182" s="18" t="s">
        <v>34</v>
      </c>
      <c r="B182" s="26" t="s">
        <v>23</v>
      </c>
      <c r="C182" s="10" t="s">
        <v>16</v>
      </c>
      <c r="D182" s="20">
        <v>4</v>
      </c>
      <c r="E182" s="21">
        <v>519</v>
      </c>
      <c r="F182" s="20">
        <v>1</v>
      </c>
      <c r="G182" s="20">
        <v>0</v>
      </c>
      <c r="H182" s="21">
        <v>220</v>
      </c>
      <c r="I182" s="13">
        <v>1</v>
      </c>
      <c r="J182" s="14">
        <f t="shared" si="10"/>
        <v>4</v>
      </c>
      <c r="K182" s="15">
        <f t="shared" si="11"/>
        <v>519</v>
      </c>
      <c r="L182" s="41">
        <f>(1-$Q$2)*(E182+H182)*Sheet2!I63</f>
        <v>0</v>
      </c>
      <c r="M182" s="15">
        <f t="shared" si="12"/>
        <v>519</v>
      </c>
      <c r="U182" s="17"/>
      <c r="V182" s="22"/>
    </row>
    <row r="183" spans="1:22" x14ac:dyDescent="0.3">
      <c r="A183" s="8" t="s">
        <v>34</v>
      </c>
      <c r="B183" s="26" t="s">
        <v>23</v>
      </c>
      <c r="C183" s="19" t="s">
        <v>17</v>
      </c>
      <c r="D183" s="11">
        <v>4</v>
      </c>
      <c r="E183" s="12">
        <v>681</v>
      </c>
      <c r="F183" s="11">
        <v>1</v>
      </c>
      <c r="G183" s="11">
        <v>0</v>
      </c>
      <c r="H183" s="12">
        <v>220</v>
      </c>
      <c r="I183" s="13">
        <v>1</v>
      </c>
      <c r="J183" s="14">
        <f t="shared" si="10"/>
        <v>4</v>
      </c>
      <c r="K183" s="15">
        <f t="shared" si="11"/>
        <v>681</v>
      </c>
      <c r="L183" s="41">
        <f>(1-$Q$2)*(E183+H183)*Sheet2!I64</f>
        <v>0</v>
      </c>
      <c r="M183" s="15">
        <f t="shared" si="12"/>
        <v>681</v>
      </c>
      <c r="U183" s="17"/>
      <c r="V183" s="22"/>
    </row>
    <row r="184" spans="1:22" x14ac:dyDescent="0.3">
      <c r="A184" s="18" t="s">
        <v>34</v>
      </c>
      <c r="B184" s="26" t="s">
        <v>23</v>
      </c>
      <c r="C184" s="23" t="s">
        <v>18</v>
      </c>
      <c r="D184" s="20">
        <v>4</v>
      </c>
      <c r="E184" s="21">
        <v>577</v>
      </c>
      <c r="F184" s="20">
        <v>1</v>
      </c>
      <c r="G184" s="20">
        <v>0</v>
      </c>
      <c r="H184" s="21">
        <v>220</v>
      </c>
      <c r="I184" s="13">
        <v>1</v>
      </c>
      <c r="J184" s="14">
        <f t="shared" si="10"/>
        <v>4</v>
      </c>
      <c r="K184" s="15">
        <f t="shared" si="11"/>
        <v>577</v>
      </c>
      <c r="L184" s="41">
        <f>(1-$Q$2)*(E184+H184)*Sheet2!I65</f>
        <v>0</v>
      </c>
      <c r="M184" s="15">
        <f t="shared" si="12"/>
        <v>577</v>
      </c>
      <c r="U184" s="17"/>
      <c r="V184" s="22"/>
    </row>
    <row r="185" spans="1:22" x14ac:dyDescent="0.3">
      <c r="A185" s="8" t="s">
        <v>34</v>
      </c>
      <c r="B185" s="24" t="s">
        <v>25</v>
      </c>
      <c r="C185" s="10" t="s">
        <v>16</v>
      </c>
      <c r="D185" s="11">
        <v>76</v>
      </c>
      <c r="E185" s="12">
        <v>2596</v>
      </c>
      <c r="F185" s="11">
        <v>27</v>
      </c>
      <c r="G185" s="11">
        <v>1</v>
      </c>
      <c r="H185" s="12">
        <v>1300</v>
      </c>
      <c r="I185" s="13">
        <v>27</v>
      </c>
      <c r="J185" s="14">
        <f t="shared" si="10"/>
        <v>77</v>
      </c>
      <c r="K185" s="15">
        <f t="shared" si="11"/>
        <v>70092</v>
      </c>
      <c r="L185" s="41">
        <f>(1-$Q$2)*(E185+H185)*Sheet2!I66</f>
        <v>0</v>
      </c>
      <c r="M185" s="15">
        <f t="shared" si="12"/>
        <v>70092</v>
      </c>
      <c r="U185" s="17"/>
      <c r="V185" s="22"/>
    </row>
    <row r="186" spans="1:22" x14ac:dyDescent="0.3">
      <c r="A186" s="18" t="s">
        <v>34</v>
      </c>
      <c r="B186" s="24" t="s">
        <v>25</v>
      </c>
      <c r="C186" s="19" t="s">
        <v>17</v>
      </c>
      <c r="D186" s="20">
        <v>76</v>
      </c>
      <c r="E186" s="21">
        <v>3403</v>
      </c>
      <c r="F186" s="20">
        <v>17</v>
      </c>
      <c r="G186" s="20">
        <v>1</v>
      </c>
      <c r="H186" s="21">
        <v>1300</v>
      </c>
      <c r="I186" s="13">
        <v>17</v>
      </c>
      <c r="J186" s="14">
        <f t="shared" si="10"/>
        <v>77</v>
      </c>
      <c r="K186" s="15">
        <f t="shared" si="11"/>
        <v>57851</v>
      </c>
      <c r="L186" s="41">
        <f>(1-$Q$2)*(E186+H186)*Sheet2!I67</f>
        <v>0</v>
      </c>
      <c r="M186" s="15">
        <f t="shared" si="12"/>
        <v>57851</v>
      </c>
      <c r="U186" s="17"/>
      <c r="V186" s="22"/>
    </row>
    <row r="187" spans="1:22" x14ac:dyDescent="0.3">
      <c r="A187" s="8" t="s">
        <v>34</v>
      </c>
      <c r="B187" s="24" t="s">
        <v>25</v>
      </c>
      <c r="C187" s="23" t="s">
        <v>18</v>
      </c>
      <c r="D187" s="11">
        <v>76</v>
      </c>
      <c r="E187" s="12">
        <v>2884</v>
      </c>
      <c r="F187" s="11">
        <v>26</v>
      </c>
      <c r="G187" s="11">
        <v>1</v>
      </c>
      <c r="H187" s="12">
        <v>1300</v>
      </c>
      <c r="I187" s="13">
        <v>26</v>
      </c>
      <c r="J187" s="14">
        <f t="shared" si="10"/>
        <v>77</v>
      </c>
      <c r="K187" s="15">
        <f t="shared" si="11"/>
        <v>74984</v>
      </c>
      <c r="L187" s="41">
        <f>(1-$Q$2)*(E187+H187)*Sheet2!I68</f>
        <v>0</v>
      </c>
      <c r="M187" s="15">
        <f t="shared" si="12"/>
        <v>74984</v>
      </c>
      <c r="U187" s="17"/>
      <c r="V187" s="22"/>
    </row>
    <row r="188" spans="1:22" x14ac:dyDescent="0.3">
      <c r="A188" s="18" t="s">
        <v>35</v>
      </c>
      <c r="B188" s="9" t="s">
        <v>15</v>
      </c>
      <c r="C188" s="10" t="s">
        <v>16</v>
      </c>
      <c r="D188" s="20">
        <v>998</v>
      </c>
      <c r="E188" s="21">
        <v>873</v>
      </c>
      <c r="F188" s="20">
        <v>398</v>
      </c>
      <c r="G188" s="20">
        <v>30</v>
      </c>
      <c r="H188" s="21">
        <v>500</v>
      </c>
      <c r="I188" s="13">
        <v>348</v>
      </c>
      <c r="J188" s="14">
        <f t="shared" si="10"/>
        <v>1028</v>
      </c>
      <c r="K188" s="15">
        <f t="shared" si="11"/>
        <v>303804</v>
      </c>
      <c r="L188" s="41">
        <f>(1-$Q$2)*(E188+H188)*Sheet2!I69</f>
        <v>0</v>
      </c>
      <c r="M188" s="15">
        <f t="shared" si="12"/>
        <v>303804</v>
      </c>
      <c r="U188" s="17"/>
      <c r="V188" s="22"/>
    </row>
    <row r="189" spans="1:22" x14ac:dyDescent="0.3">
      <c r="A189" s="8" t="s">
        <v>35</v>
      </c>
      <c r="B189" s="9" t="s">
        <v>15</v>
      </c>
      <c r="C189" s="19" t="s">
        <v>17</v>
      </c>
      <c r="D189" s="11">
        <v>998</v>
      </c>
      <c r="E189" s="12">
        <v>1145</v>
      </c>
      <c r="F189" s="11">
        <v>262</v>
      </c>
      <c r="G189" s="11">
        <v>30</v>
      </c>
      <c r="H189" s="12">
        <v>500</v>
      </c>
      <c r="I189" s="13">
        <v>262</v>
      </c>
      <c r="J189" s="14">
        <f t="shared" si="10"/>
        <v>1028</v>
      </c>
      <c r="K189" s="15">
        <f t="shared" si="11"/>
        <v>299990</v>
      </c>
      <c r="L189" s="41">
        <f>(1-$Q$2)*(E189+H189)*Sheet2!I70</f>
        <v>0</v>
      </c>
      <c r="M189" s="15">
        <f t="shared" si="12"/>
        <v>299990</v>
      </c>
      <c r="U189" s="17"/>
      <c r="V189" s="22"/>
    </row>
    <row r="190" spans="1:22" x14ac:dyDescent="0.3">
      <c r="A190" s="18" t="s">
        <v>35</v>
      </c>
      <c r="B190" s="9" t="s">
        <v>15</v>
      </c>
      <c r="C190" s="23" t="s">
        <v>18</v>
      </c>
      <c r="D190" s="20">
        <v>998</v>
      </c>
      <c r="E190" s="21">
        <v>970</v>
      </c>
      <c r="F190" s="20">
        <v>388</v>
      </c>
      <c r="G190" s="20">
        <v>30</v>
      </c>
      <c r="H190" s="21">
        <v>500</v>
      </c>
      <c r="I190" s="13">
        <v>388</v>
      </c>
      <c r="J190" s="14">
        <f t="shared" si="10"/>
        <v>1028</v>
      </c>
      <c r="K190" s="15">
        <f t="shared" si="11"/>
        <v>376360</v>
      </c>
      <c r="L190" s="41">
        <f>(1-$Q$2)*(E190+H190)*Sheet2!I71</f>
        <v>0</v>
      </c>
      <c r="M190" s="15">
        <f t="shared" si="12"/>
        <v>376360</v>
      </c>
      <c r="U190" s="17"/>
      <c r="V190" s="22"/>
    </row>
    <row r="191" spans="1:22" x14ac:dyDescent="0.3">
      <c r="A191" s="8" t="s">
        <v>35</v>
      </c>
      <c r="B191" s="9" t="s">
        <v>19</v>
      </c>
      <c r="C191" s="10" t="s">
        <v>16</v>
      </c>
      <c r="D191" s="11">
        <v>266</v>
      </c>
      <c r="E191" s="12">
        <v>1067</v>
      </c>
      <c r="F191" s="11">
        <v>103</v>
      </c>
      <c r="G191" s="11">
        <v>7</v>
      </c>
      <c r="H191" s="12">
        <v>700</v>
      </c>
      <c r="I191" s="13">
        <v>98</v>
      </c>
      <c r="J191" s="14">
        <f t="shared" si="10"/>
        <v>273</v>
      </c>
      <c r="K191" s="15">
        <f t="shared" si="11"/>
        <v>104566</v>
      </c>
      <c r="L191" s="41">
        <f>(1-$Q$2)*(E191+H191)*Sheet2!I72</f>
        <v>0</v>
      </c>
      <c r="M191" s="15">
        <f t="shared" si="12"/>
        <v>104566</v>
      </c>
      <c r="U191" s="17"/>
      <c r="V191" s="22"/>
    </row>
    <row r="192" spans="1:22" x14ac:dyDescent="0.3">
      <c r="A192" s="18" t="s">
        <v>35</v>
      </c>
      <c r="B192" s="9" t="s">
        <v>19</v>
      </c>
      <c r="C192" s="19" t="s">
        <v>17</v>
      </c>
      <c r="D192" s="20">
        <v>266</v>
      </c>
      <c r="E192" s="21">
        <v>1399</v>
      </c>
      <c r="F192" s="20">
        <v>68</v>
      </c>
      <c r="G192" s="20">
        <v>7</v>
      </c>
      <c r="H192" s="21">
        <v>700</v>
      </c>
      <c r="I192" s="13">
        <v>68</v>
      </c>
      <c r="J192" s="14">
        <f t="shared" si="10"/>
        <v>273</v>
      </c>
      <c r="K192" s="15">
        <f t="shared" si="11"/>
        <v>95132</v>
      </c>
      <c r="L192" s="41">
        <f>(1-$Q$2)*(E192+H192)*Sheet2!I73</f>
        <v>0</v>
      </c>
      <c r="M192" s="15">
        <f t="shared" si="12"/>
        <v>95132</v>
      </c>
      <c r="U192" s="17"/>
      <c r="V192" s="22"/>
    </row>
    <row r="193" spans="1:22" x14ac:dyDescent="0.3">
      <c r="A193" s="8" t="s">
        <v>35</v>
      </c>
      <c r="B193" s="9" t="s">
        <v>19</v>
      </c>
      <c r="C193" s="23" t="s">
        <v>18</v>
      </c>
      <c r="D193" s="11">
        <v>266</v>
      </c>
      <c r="E193" s="12">
        <v>1186</v>
      </c>
      <c r="F193" s="11">
        <v>100</v>
      </c>
      <c r="G193" s="11">
        <v>7</v>
      </c>
      <c r="H193" s="12">
        <v>700</v>
      </c>
      <c r="I193" s="13">
        <v>100</v>
      </c>
      <c r="J193" s="14">
        <f t="shared" si="10"/>
        <v>273</v>
      </c>
      <c r="K193" s="15">
        <f t="shared" si="11"/>
        <v>118600</v>
      </c>
      <c r="L193" s="41">
        <f>(1-$Q$2)*(E193+H193)*Sheet2!I74</f>
        <v>0</v>
      </c>
      <c r="M193" s="15">
        <f t="shared" si="12"/>
        <v>118600</v>
      </c>
      <c r="U193" s="17"/>
      <c r="V193" s="22"/>
    </row>
    <row r="194" spans="1:22" x14ac:dyDescent="0.3">
      <c r="A194" s="18" t="s">
        <v>35</v>
      </c>
      <c r="B194" s="24" t="s">
        <v>20</v>
      </c>
      <c r="C194" s="10" t="s">
        <v>16</v>
      </c>
      <c r="D194" s="20">
        <v>80</v>
      </c>
      <c r="E194" s="21">
        <v>5045</v>
      </c>
      <c r="F194" s="20">
        <v>27</v>
      </c>
      <c r="G194" s="20">
        <v>1</v>
      </c>
      <c r="H194" s="21">
        <v>2500</v>
      </c>
      <c r="I194" s="13">
        <v>27</v>
      </c>
      <c r="J194" s="14">
        <f t="shared" si="10"/>
        <v>81</v>
      </c>
      <c r="K194" s="15">
        <f t="shared" si="11"/>
        <v>136215</v>
      </c>
      <c r="L194" s="41">
        <f>(1-$Q$2)*(E194+H194)*Sheet2!I75</f>
        <v>0</v>
      </c>
      <c r="M194" s="15">
        <f t="shared" si="12"/>
        <v>136215</v>
      </c>
      <c r="U194" s="17"/>
      <c r="V194" s="22"/>
    </row>
    <row r="195" spans="1:22" x14ac:dyDescent="0.3">
      <c r="A195" s="8" t="s">
        <v>35</v>
      </c>
      <c r="B195" s="24" t="s">
        <v>20</v>
      </c>
      <c r="C195" s="19" t="s">
        <v>17</v>
      </c>
      <c r="D195" s="11">
        <v>80</v>
      </c>
      <c r="E195" s="12">
        <v>6615</v>
      </c>
      <c r="F195" s="11">
        <v>18</v>
      </c>
      <c r="G195" s="11">
        <v>1</v>
      </c>
      <c r="H195" s="12">
        <v>2500</v>
      </c>
      <c r="I195" s="13">
        <v>18</v>
      </c>
      <c r="J195" s="14">
        <f t="shared" si="10"/>
        <v>81</v>
      </c>
      <c r="K195" s="15">
        <f t="shared" si="11"/>
        <v>119070</v>
      </c>
      <c r="L195" s="41">
        <f>(1-$Q$2)*(E195+H195)*Sheet2!I76</f>
        <v>0</v>
      </c>
      <c r="M195" s="15">
        <f t="shared" si="12"/>
        <v>119070</v>
      </c>
      <c r="U195" s="17"/>
      <c r="V195" s="22"/>
    </row>
    <row r="196" spans="1:22" x14ac:dyDescent="0.3">
      <c r="A196" s="18" t="s">
        <v>35</v>
      </c>
      <c r="B196" s="24" t="s">
        <v>20</v>
      </c>
      <c r="C196" s="23" t="s">
        <v>18</v>
      </c>
      <c r="D196" s="20">
        <v>80</v>
      </c>
      <c r="E196" s="21">
        <v>5606</v>
      </c>
      <c r="F196" s="20">
        <v>26</v>
      </c>
      <c r="G196" s="20">
        <v>1</v>
      </c>
      <c r="H196" s="21">
        <v>2500</v>
      </c>
      <c r="I196" s="13">
        <v>26</v>
      </c>
      <c r="J196" s="14">
        <f t="shared" si="10"/>
        <v>81</v>
      </c>
      <c r="K196" s="15">
        <f t="shared" si="11"/>
        <v>145756</v>
      </c>
      <c r="L196" s="41">
        <f>(1-$Q$2)*(E196+H196)*Sheet2!I77</f>
        <v>0</v>
      </c>
      <c r="M196" s="15">
        <f t="shared" si="12"/>
        <v>145756</v>
      </c>
      <c r="U196" s="17"/>
      <c r="V196" s="22"/>
    </row>
    <row r="197" spans="1:22" x14ac:dyDescent="0.3">
      <c r="A197" s="8" t="s">
        <v>35</v>
      </c>
      <c r="B197" s="25" t="s">
        <v>21</v>
      </c>
      <c r="C197" s="10" t="s">
        <v>16</v>
      </c>
      <c r="D197" s="11">
        <v>446</v>
      </c>
      <c r="E197" s="12">
        <v>505</v>
      </c>
      <c r="F197" s="11">
        <v>175</v>
      </c>
      <c r="G197" s="11">
        <v>13</v>
      </c>
      <c r="H197" s="12">
        <v>250</v>
      </c>
      <c r="I197" s="13">
        <v>174</v>
      </c>
      <c r="J197" s="14">
        <f t="shared" ref="J197:J260" si="13">D197+G197</f>
        <v>459</v>
      </c>
      <c r="K197" s="15">
        <f t="shared" ref="K197:K260" si="14">I197*E197</f>
        <v>87870</v>
      </c>
      <c r="L197" s="41">
        <f>(1-$Q$2)*(E197+H197)*Sheet2!I78</f>
        <v>0</v>
      </c>
      <c r="M197" s="15">
        <f t="shared" ref="M197:M260" si="15">K197-L197</f>
        <v>87870</v>
      </c>
      <c r="U197" s="17"/>
      <c r="V197" s="22"/>
    </row>
    <row r="198" spans="1:22" x14ac:dyDescent="0.3">
      <c r="A198" s="18" t="s">
        <v>35</v>
      </c>
      <c r="B198" s="25" t="s">
        <v>21</v>
      </c>
      <c r="C198" s="19" t="s">
        <v>17</v>
      </c>
      <c r="D198" s="20">
        <v>446</v>
      </c>
      <c r="E198" s="21">
        <v>661</v>
      </c>
      <c r="F198" s="20">
        <v>115</v>
      </c>
      <c r="G198" s="20">
        <v>13</v>
      </c>
      <c r="H198" s="21">
        <v>250</v>
      </c>
      <c r="I198" s="13">
        <v>115</v>
      </c>
      <c r="J198" s="14">
        <f t="shared" si="13"/>
        <v>459</v>
      </c>
      <c r="K198" s="15">
        <f t="shared" si="14"/>
        <v>76015</v>
      </c>
      <c r="L198" s="41">
        <f>(1-$Q$2)*(E198+H198)*Sheet2!I79</f>
        <v>0</v>
      </c>
      <c r="M198" s="15">
        <f t="shared" si="15"/>
        <v>76015</v>
      </c>
      <c r="U198" s="17"/>
      <c r="V198" s="22"/>
    </row>
    <row r="199" spans="1:22" x14ac:dyDescent="0.3">
      <c r="A199" s="8" t="s">
        <v>35</v>
      </c>
      <c r="B199" s="25" t="s">
        <v>21</v>
      </c>
      <c r="C199" s="23" t="s">
        <v>18</v>
      </c>
      <c r="D199" s="11">
        <v>446</v>
      </c>
      <c r="E199" s="12">
        <v>561</v>
      </c>
      <c r="F199" s="11">
        <v>170</v>
      </c>
      <c r="G199" s="11">
        <v>13</v>
      </c>
      <c r="H199" s="12">
        <v>250</v>
      </c>
      <c r="I199" s="13">
        <v>170</v>
      </c>
      <c r="J199" s="14">
        <f t="shared" si="13"/>
        <v>459</v>
      </c>
      <c r="K199" s="15">
        <f t="shared" si="14"/>
        <v>95370</v>
      </c>
      <c r="L199" s="41">
        <f>(1-$Q$2)*(E199+H199)*Sheet2!I80</f>
        <v>0</v>
      </c>
      <c r="M199" s="15">
        <f t="shared" si="15"/>
        <v>95370</v>
      </c>
      <c r="U199" s="17"/>
      <c r="V199" s="22"/>
    </row>
    <row r="200" spans="1:22" x14ac:dyDescent="0.3">
      <c r="A200" s="18" t="s">
        <v>35</v>
      </c>
      <c r="B200" s="25" t="s">
        <v>22</v>
      </c>
      <c r="C200" s="10" t="s">
        <v>16</v>
      </c>
      <c r="D200" s="20">
        <v>162</v>
      </c>
      <c r="E200" s="21">
        <v>679</v>
      </c>
      <c r="F200" s="20">
        <v>59</v>
      </c>
      <c r="G200" s="20">
        <v>4</v>
      </c>
      <c r="H200" s="21">
        <v>350</v>
      </c>
      <c r="I200" s="13">
        <v>59</v>
      </c>
      <c r="J200" s="14">
        <f t="shared" si="13"/>
        <v>166</v>
      </c>
      <c r="K200" s="15">
        <f t="shared" si="14"/>
        <v>40061</v>
      </c>
      <c r="L200" s="41">
        <f>(1-$Q$2)*(E200+H200)*Sheet2!I81</f>
        <v>0</v>
      </c>
      <c r="M200" s="15">
        <f t="shared" si="15"/>
        <v>40061</v>
      </c>
      <c r="U200" s="17"/>
      <c r="V200" s="22"/>
    </row>
    <row r="201" spans="1:22" x14ac:dyDescent="0.3">
      <c r="A201" s="8" t="s">
        <v>35</v>
      </c>
      <c r="B201" s="25" t="s">
        <v>22</v>
      </c>
      <c r="C201" s="19" t="s">
        <v>17</v>
      </c>
      <c r="D201" s="11">
        <v>162</v>
      </c>
      <c r="E201" s="12">
        <v>890</v>
      </c>
      <c r="F201" s="11">
        <v>39</v>
      </c>
      <c r="G201" s="11">
        <v>4</v>
      </c>
      <c r="H201" s="12">
        <v>350</v>
      </c>
      <c r="I201" s="13">
        <v>39</v>
      </c>
      <c r="J201" s="14">
        <f t="shared" si="13"/>
        <v>166</v>
      </c>
      <c r="K201" s="15">
        <f t="shared" si="14"/>
        <v>34710</v>
      </c>
      <c r="L201" s="41">
        <f>(1-$Q$2)*(E201+H201)*Sheet2!I82</f>
        <v>0</v>
      </c>
      <c r="M201" s="15">
        <f t="shared" si="15"/>
        <v>34710</v>
      </c>
      <c r="U201" s="17"/>
      <c r="V201" s="22"/>
    </row>
    <row r="202" spans="1:22" x14ac:dyDescent="0.3">
      <c r="A202" s="18" t="s">
        <v>35</v>
      </c>
      <c r="B202" s="25" t="s">
        <v>22</v>
      </c>
      <c r="C202" s="23" t="s">
        <v>18</v>
      </c>
      <c r="D202" s="20">
        <v>162</v>
      </c>
      <c r="E202" s="21">
        <v>755</v>
      </c>
      <c r="F202" s="20">
        <v>58</v>
      </c>
      <c r="G202" s="20">
        <v>4</v>
      </c>
      <c r="H202" s="21">
        <v>350</v>
      </c>
      <c r="I202" s="13">
        <v>58</v>
      </c>
      <c r="J202" s="14">
        <f t="shared" si="13"/>
        <v>166</v>
      </c>
      <c r="K202" s="15">
        <f t="shared" si="14"/>
        <v>43790</v>
      </c>
      <c r="L202" s="41">
        <f>(1-$Q$2)*(E202+H202)*Sheet2!I83</f>
        <v>0</v>
      </c>
      <c r="M202" s="15">
        <f t="shared" si="15"/>
        <v>43790</v>
      </c>
      <c r="U202" s="17"/>
      <c r="V202" s="22"/>
    </row>
    <row r="203" spans="1:22" x14ac:dyDescent="0.3">
      <c r="A203" s="8" t="s">
        <v>35</v>
      </c>
      <c r="B203" s="26" t="s">
        <v>23</v>
      </c>
      <c r="C203" s="10" t="s">
        <v>16</v>
      </c>
      <c r="D203" s="11">
        <v>59</v>
      </c>
      <c r="E203" s="12">
        <v>543</v>
      </c>
      <c r="F203" s="11">
        <v>20</v>
      </c>
      <c r="G203" s="11">
        <v>1</v>
      </c>
      <c r="H203" s="12">
        <v>220</v>
      </c>
      <c r="I203" s="13">
        <v>20</v>
      </c>
      <c r="J203" s="14">
        <f t="shared" si="13"/>
        <v>60</v>
      </c>
      <c r="K203" s="15">
        <f t="shared" si="14"/>
        <v>10860</v>
      </c>
      <c r="L203" s="41">
        <f>(1-$Q$2)*(E203+H203)*Sheet2!I84</f>
        <v>0</v>
      </c>
      <c r="M203" s="15">
        <f t="shared" si="15"/>
        <v>10860</v>
      </c>
      <c r="U203" s="17"/>
      <c r="V203" s="22"/>
    </row>
    <row r="204" spans="1:22" x14ac:dyDescent="0.3">
      <c r="A204" s="18" t="s">
        <v>35</v>
      </c>
      <c r="B204" s="26" t="s">
        <v>23</v>
      </c>
      <c r="C204" s="19" t="s">
        <v>17</v>
      </c>
      <c r="D204" s="20">
        <v>59</v>
      </c>
      <c r="E204" s="21">
        <v>712</v>
      </c>
      <c r="F204" s="20">
        <v>13</v>
      </c>
      <c r="G204" s="20">
        <v>1</v>
      </c>
      <c r="H204" s="21">
        <v>220</v>
      </c>
      <c r="I204" s="13">
        <v>13</v>
      </c>
      <c r="J204" s="14">
        <f t="shared" si="13"/>
        <v>60</v>
      </c>
      <c r="K204" s="15">
        <f t="shared" si="14"/>
        <v>9256</v>
      </c>
      <c r="L204" s="41">
        <f>(1-$Q$2)*(E204+H204)*Sheet2!I85</f>
        <v>0</v>
      </c>
      <c r="M204" s="15">
        <f t="shared" si="15"/>
        <v>9256</v>
      </c>
      <c r="U204" s="17"/>
      <c r="V204" s="22"/>
    </row>
    <row r="205" spans="1:22" x14ac:dyDescent="0.3">
      <c r="A205" s="8" t="s">
        <v>35</v>
      </c>
      <c r="B205" s="26" t="s">
        <v>23</v>
      </c>
      <c r="C205" s="23" t="s">
        <v>18</v>
      </c>
      <c r="D205" s="11">
        <v>59</v>
      </c>
      <c r="E205" s="12">
        <v>604</v>
      </c>
      <c r="F205" s="11">
        <v>20</v>
      </c>
      <c r="G205" s="11">
        <v>1</v>
      </c>
      <c r="H205" s="12">
        <v>220</v>
      </c>
      <c r="I205" s="13">
        <v>20</v>
      </c>
      <c r="J205" s="14">
        <f t="shared" si="13"/>
        <v>60</v>
      </c>
      <c r="K205" s="15">
        <f t="shared" si="14"/>
        <v>12080</v>
      </c>
      <c r="L205" s="41">
        <f>(1-$Q$2)*(E205+H205)*Sheet2!I86</f>
        <v>0</v>
      </c>
      <c r="M205" s="15">
        <f t="shared" si="15"/>
        <v>12080</v>
      </c>
      <c r="U205" s="17"/>
      <c r="V205" s="22"/>
    </row>
    <row r="206" spans="1:22" x14ac:dyDescent="0.3">
      <c r="A206" s="18" t="s">
        <v>36</v>
      </c>
      <c r="B206" s="9" t="s">
        <v>15</v>
      </c>
      <c r="C206" s="10" t="s">
        <v>16</v>
      </c>
      <c r="D206" s="20">
        <v>1034</v>
      </c>
      <c r="E206" s="21">
        <v>931</v>
      </c>
      <c r="F206" s="20">
        <v>413</v>
      </c>
      <c r="G206" s="20">
        <v>31</v>
      </c>
      <c r="H206" s="21">
        <v>500</v>
      </c>
      <c r="I206" s="13">
        <v>392</v>
      </c>
      <c r="J206" s="14">
        <f t="shared" si="13"/>
        <v>1065</v>
      </c>
      <c r="K206" s="15">
        <f t="shared" si="14"/>
        <v>364952</v>
      </c>
      <c r="L206" s="41">
        <f>(1-$Q$2)*(E206+H206)*Sheet2!I87</f>
        <v>0</v>
      </c>
      <c r="M206" s="15">
        <f t="shared" si="15"/>
        <v>364952</v>
      </c>
      <c r="U206" s="17"/>
      <c r="V206" s="22"/>
    </row>
    <row r="207" spans="1:22" x14ac:dyDescent="0.3">
      <c r="A207" s="8" t="s">
        <v>36</v>
      </c>
      <c r="B207" s="9" t="s">
        <v>15</v>
      </c>
      <c r="C207" s="19" t="s">
        <v>17</v>
      </c>
      <c r="D207" s="11">
        <v>1034</v>
      </c>
      <c r="E207" s="12">
        <v>1221</v>
      </c>
      <c r="F207" s="11">
        <v>271</v>
      </c>
      <c r="G207" s="11">
        <v>31</v>
      </c>
      <c r="H207" s="12">
        <v>500</v>
      </c>
      <c r="I207" s="13">
        <v>271</v>
      </c>
      <c r="J207" s="14">
        <f t="shared" si="13"/>
        <v>1065</v>
      </c>
      <c r="K207" s="15">
        <f t="shared" si="14"/>
        <v>330891</v>
      </c>
      <c r="L207" s="41">
        <f>(1-$Q$2)*(E207+H207)*Sheet2!I88</f>
        <v>0</v>
      </c>
      <c r="M207" s="15">
        <f t="shared" si="15"/>
        <v>330891</v>
      </c>
      <c r="U207" s="17"/>
      <c r="V207" s="22"/>
    </row>
    <row r="208" spans="1:22" x14ac:dyDescent="0.3">
      <c r="A208" s="18" t="s">
        <v>36</v>
      </c>
      <c r="B208" s="9" t="s">
        <v>15</v>
      </c>
      <c r="C208" s="23" t="s">
        <v>18</v>
      </c>
      <c r="D208" s="20">
        <v>1034</v>
      </c>
      <c r="E208" s="21">
        <v>1035</v>
      </c>
      <c r="F208" s="20">
        <v>402</v>
      </c>
      <c r="G208" s="20">
        <v>31</v>
      </c>
      <c r="H208" s="21">
        <v>500</v>
      </c>
      <c r="I208" s="13">
        <v>402</v>
      </c>
      <c r="J208" s="14">
        <f t="shared" si="13"/>
        <v>1065</v>
      </c>
      <c r="K208" s="15">
        <f t="shared" si="14"/>
        <v>416070</v>
      </c>
      <c r="L208" s="41">
        <f>(1-$Q$2)*(E208+H208)*Sheet2!I89</f>
        <v>0</v>
      </c>
      <c r="M208" s="15">
        <f t="shared" si="15"/>
        <v>416070</v>
      </c>
      <c r="U208" s="17"/>
      <c r="V208" s="22"/>
    </row>
    <row r="209" spans="1:22" x14ac:dyDescent="0.3">
      <c r="A209" s="8" t="s">
        <v>36</v>
      </c>
      <c r="B209" s="9" t="s">
        <v>19</v>
      </c>
      <c r="C209" s="10" t="s">
        <v>16</v>
      </c>
      <c r="D209" s="11">
        <v>48</v>
      </c>
      <c r="E209" s="12">
        <v>1138</v>
      </c>
      <c r="F209" s="11">
        <v>19</v>
      </c>
      <c r="G209" s="11">
        <v>1</v>
      </c>
      <c r="H209" s="12">
        <v>700</v>
      </c>
      <c r="I209" s="13">
        <v>19</v>
      </c>
      <c r="J209" s="14">
        <f t="shared" si="13"/>
        <v>49</v>
      </c>
      <c r="K209" s="15">
        <f t="shared" si="14"/>
        <v>21622</v>
      </c>
      <c r="L209" s="41">
        <f>(1-$Q$2)*(E209+H209)*Sheet2!I90</f>
        <v>0</v>
      </c>
      <c r="M209" s="15">
        <f t="shared" si="15"/>
        <v>21622</v>
      </c>
      <c r="U209" s="17"/>
      <c r="V209" s="22"/>
    </row>
    <row r="210" spans="1:22" x14ac:dyDescent="0.3">
      <c r="A210" s="18" t="s">
        <v>36</v>
      </c>
      <c r="B210" s="9" t="s">
        <v>19</v>
      </c>
      <c r="C210" s="19" t="s">
        <v>17</v>
      </c>
      <c r="D210" s="20">
        <v>48</v>
      </c>
      <c r="E210" s="21">
        <v>1493</v>
      </c>
      <c r="F210" s="20">
        <v>12</v>
      </c>
      <c r="G210" s="20">
        <v>1</v>
      </c>
      <c r="H210" s="21">
        <v>700</v>
      </c>
      <c r="I210" s="13">
        <v>12</v>
      </c>
      <c r="J210" s="14">
        <f t="shared" si="13"/>
        <v>49</v>
      </c>
      <c r="K210" s="15">
        <f t="shared" si="14"/>
        <v>17916</v>
      </c>
      <c r="L210" s="41">
        <f>(1-$Q$2)*(E210+H210)*Sheet2!I91</f>
        <v>0</v>
      </c>
      <c r="M210" s="15">
        <f t="shared" si="15"/>
        <v>17916</v>
      </c>
      <c r="U210" s="17"/>
      <c r="V210" s="22"/>
    </row>
    <row r="211" spans="1:22" x14ac:dyDescent="0.3">
      <c r="A211" s="8" t="s">
        <v>36</v>
      </c>
      <c r="B211" s="9" t="s">
        <v>19</v>
      </c>
      <c r="C211" s="23" t="s">
        <v>18</v>
      </c>
      <c r="D211" s="11">
        <v>48</v>
      </c>
      <c r="E211" s="12">
        <v>1265</v>
      </c>
      <c r="F211" s="11">
        <v>18</v>
      </c>
      <c r="G211" s="11">
        <v>1</v>
      </c>
      <c r="H211" s="12">
        <v>700</v>
      </c>
      <c r="I211" s="13">
        <v>18</v>
      </c>
      <c r="J211" s="14">
        <f t="shared" si="13"/>
        <v>49</v>
      </c>
      <c r="K211" s="15">
        <f t="shared" si="14"/>
        <v>22770</v>
      </c>
      <c r="L211" s="41">
        <f>(1-$Q$2)*(E211+H211)*Sheet2!I92</f>
        <v>0</v>
      </c>
      <c r="M211" s="15">
        <f t="shared" si="15"/>
        <v>22770</v>
      </c>
      <c r="U211" s="17"/>
      <c r="V211" s="22"/>
    </row>
    <row r="212" spans="1:22" x14ac:dyDescent="0.3">
      <c r="A212" s="18" t="s">
        <v>36</v>
      </c>
      <c r="B212" s="24" t="s">
        <v>20</v>
      </c>
      <c r="C212" s="10" t="s">
        <v>16</v>
      </c>
      <c r="D212" s="20">
        <v>123</v>
      </c>
      <c r="E212" s="21">
        <v>5382</v>
      </c>
      <c r="F212" s="20">
        <v>41</v>
      </c>
      <c r="G212" s="20">
        <v>1</v>
      </c>
      <c r="H212" s="21">
        <v>2500</v>
      </c>
      <c r="I212" s="13">
        <v>41</v>
      </c>
      <c r="J212" s="14">
        <f t="shared" si="13"/>
        <v>124</v>
      </c>
      <c r="K212" s="15">
        <f t="shared" si="14"/>
        <v>220662</v>
      </c>
      <c r="L212" s="41">
        <f>(1-$Q$2)*(E212+H212)*Sheet2!I93</f>
        <v>0</v>
      </c>
      <c r="M212" s="15">
        <f t="shared" si="15"/>
        <v>220662</v>
      </c>
      <c r="U212" s="17"/>
      <c r="V212" s="22"/>
    </row>
    <row r="213" spans="1:22" x14ac:dyDescent="0.3">
      <c r="A213" s="8" t="s">
        <v>36</v>
      </c>
      <c r="B213" s="24" t="s">
        <v>20</v>
      </c>
      <c r="C213" s="19" t="s">
        <v>17</v>
      </c>
      <c r="D213" s="11">
        <v>123</v>
      </c>
      <c r="E213" s="12">
        <v>7056</v>
      </c>
      <c r="F213" s="11">
        <v>27</v>
      </c>
      <c r="G213" s="11">
        <v>1</v>
      </c>
      <c r="H213" s="12">
        <v>2500</v>
      </c>
      <c r="I213" s="13">
        <v>27</v>
      </c>
      <c r="J213" s="14">
        <f t="shared" si="13"/>
        <v>124</v>
      </c>
      <c r="K213" s="15">
        <f t="shared" si="14"/>
        <v>190512</v>
      </c>
      <c r="L213" s="41">
        <f>(1-$Q$2)*(E213+H213)*Sheet2!I94</f>
        <v>0</v>
      </c>
      <c r="M213" s="15">
        <f t="shared" si="15"/>
        <v>190512</v>
      </c>
      <c r="U213" s="17"/>
      <c r="V213" s="22"/>
    </row>
    <row r="214" spans="1:22" x14ac:dyDescent="0.3">
      <c r="A214" s="18" t="s">
        <v>36</v>
      </c>
      <c r="B214" s="24" t="s">
        <v>20</v>
      </c>
      <c r="C214" s="23" t="s">
        <v>18</v>
      </c>
      <c r="D214" s="20">
        <v>123</v>
      </c>
      <c r="E214" s="21">
        <v>5980</v>
      </c>
      <c r="F214" s="20">
        <v>40</v>
      </c>
      <c r="G214" s="20">
        <v>1</v>
      </c>
      <c r="H214" s="21">
        <v>2500</v>
      </c>
      <c r="I214" s="13">
        <v>40</v>
      </c>
      <c r="J214" s="14">
        <f t="shared" si="13"/>
        <v>124</v>
      </c>
      <c r="K214" s="15">
        <f t="shared" si="14"/>
        <v>239200</v>
      </c>
      <c r="L214" s="41">
        <f>(1-$Q$2)*(E214+H214)*Sheet2!I95</f>
        <v>0</v>
      </c>
      <c r="M214" s="15">
        <f t="shared" si="15"/>
        <v>239200</v>
      </c>
      <c r="U214" s="17"/>
      <c r="V214" s="22"/>
    </row>
    <row r="215" spans="1:22" x14ac:dyDescent="0.3">
      <c r="A215" s="8" t="s">
        <v>36</v>
      </c>
      <c r="B215" s="25" t="s">
        <v>21</v>
      </c>
      <c r="C215" s="10" t="s">
        <v>16</v>
      </c>
      <c r="D215" s="11">
        <v>355</v>
      </c>
      <c r="E215" s="12">
        <v>538</v>
      </c>
      <c r="F215" s="11">
        <v>139</v>
      </c>
      <c r="G215" s="11">
        <v>11</v>
      </c>
      <c r="H215" s="12">
        <v>250</v>
      </c>
      <c r="I215" s="13">
        <v>139</v>
      </c>
      <c r="J215" s="14">
        <f t="shared" si="13"/>
        <v>366</v>
      </c>
      <c r="K215" s="15">
        <f t="shared" si="14"/>
        <v>74782</v>
      </c>
      <c r="L215" s="41">
        <f>(1-$Q$2)*(E215+H215)*Sheet2!I96</f>
        <v>0</v>
      </c>
      <c r="M215" s="15">
        <f t="shared" si="15"/>
        <v>74782</v>
      </c>
      <c r="U215" s="17"/>
      <c r="V215" s="22"/>
    </row>
    <row r="216" spans="1:22" x14ac:dyDescent="0.3">
      <c r="A216" s="18" t="s">
        <v>36</v>
      </c>
      <c r="B216" s="25" t="s">
        <v>21</v>
      </c>
      <c r="C216" s="19" t="s">
        <v>17</v>
      </c>
      <c r="D216" s="20">
        <v>355</v>
      </c>
      <c r="E216" s="21">
        <v>706</v>
      </c>
      <c r="F216" s="20">
        <v>91</v>
      </c>
      <c r="G216" s="20">
        <v>11</v>
      </c>
      <c r="H216" s="21">
        <v>250</v>
      </c>
      <c r="I216" s="13">
        <v>91</v>
      </c>
      <c r="J216" s="14">
        <f t="shared" si="13"/>
        <v>366</v>
      </c>
      <c r="K216" s="15">
        <f t="shared" si="14"/>
        <v>64246</v>
      </c>
      <c r="L216" s="41">
        <f>(1-$Q$2)*(E216+H216)*Sheet2!I97</f>
        <v>0</v>
      </c>
      <c r="M216" s="15">
        <f t="shared" si="15"/>
        <v>64246</v>
      </c>
      <c r="U216" s="17"/>
      <c r="V216" s="22"/>
    </row>
    <row r="217" spans="1:22" x14ac:dyDescent="0.3">
      <c r="A217" s="8" t="s">
        <v>36</v>
      </c>
      <c r="B217" s="25" t="s">
        <v>21</v>
      </c>
      <c r="C217" s="23" t="s">
        <v>18</v>
      </c>
      <c r="D217" s="11">
        <v>355</v>
      </c>
      <c r="E217" s="12">
        <v>598</v>
      </c>
      <c r="F217" s="11">
        <v>135</v>
      </c>
      <c r="G217" s="11">
        <v>11</v>
      </c>
      <c r="H217" s="12">
        <v>250</v>
      </c>
      <c r="I217" s="13">
        <v>135</v>
      </c>
      <c r="J217" s="14">
        <f t="shared" si="13"/>
        <v>366</v>
      </c>
      <c r="K217" s="15">
        <f t="shared" si="14"/>
        <v>80730</v>
      </c>
      <c r="L217" s="41">
        <f>(1-$Q$2)*(E217+H217)*Sheet2!I98</f>
        <v>0</v>
      </c>
      <c r="M217" s="15">
        <f t="shared" si="15"/>
        <v>80730</v>
      </c>
      <c r="U217" s="17"/>
      <c r="V217" s="22"/>
    </row>
    <row r="218" spans="1:22" x14ac:dyDescent="0.3">
      <c r="A218" s="18" t="s">
        <v>36</v>
      </c>
      <c r="B218" s="25" t="s">
        <v>22</v>
      </c>
      <c r="C218" s="10" t="s">
        <v>16</v>
      </c>
      <c r="D218" s="20">
        <v>140</v>
      </c>
      <c r="E218" s="21">
        <v>724</v>
      </c>
      <c r="F218" s="20">
        <v>51</v>
      </c>
      <c r="G218" s="20">
        <v>4</v>
      </c>
      <c r="H218" s="21">
        <v>350</v>
      </c>
      <c r="I218" s="13">
        <v>51</v>
      </c>
      <c r="J218" s="14">
        <f t="shared" si="13"/>
        <v>144</v>
      </c>
      <c r="K218" s="15">
        <f t="shared" si="14"/>
        <v>36924</v>
      </c>
      <c r="L218" s="41">
        <f>(1-$Q$2)*(E218+H218)*Sheet2!I99</f>
        <v>0</v>
      </c>
      <c r="M218" s="15">
        <f t="shared" si="15"/>
        <v>36924</v>
      </c>
      <c r="U218" s="17"/>
      <c r="V218" s="22"/>
    </row>
    <row r="219" spans="1:22" x14ac:dyDescent="0.3">
      <c r="A219" s="8" t="s">
        <v>36</v>
      </c>
      <c r="B219" s="25" t="s">
        <v>22</v>
      </c>
      <c r="C219" s="19" t="s">
        <v>17</v>
      </c>
      <c r="D219" s="11">
        <v>140</v>
      </c>
      <c r="E219" s="12">
        <v>950</v>
      </c>
      <c r="F219" s="11">
        <v>34</v>
      </c>
      <c r="G219" s="11">
        <v>4</v>
      </c>
      <c r="H219" s="12">
        <v>350</v>
      </c>
      <c r="I219" s="13">
        <v>34</v>
      </c>
      <c r="J219" s="14">
        <f t="shared" si="13"/>
        <v>144</v>
      </c>
      <c r="K219" s="15">
        <f t="shared" si="14"/>
        <v>32300</v>
      </c>
      <c r="L219" s="41">
        <f>(1-$Q$2)*(E219+H219)*Sheet2!I100</f>
        <v>0</v>
      </c>
      <c r="M219" s="15">
        <f t="shared" si="15"/>
        <v>32300</v>
      </c>
      <c r="U219" s="17"/>
      <c r="V219" s="22"/>
    </row>
    <row r="220" spans="1:22" x14ac:dyDescent="0.3">
      <c r="A220" s="18" t="s">
        <v>36</v>
      </c>
      <c r="B220" s="25" t="s">
        <v>22</v>
      </c>
      <c r="C220" s="23" t="s">
        <v>18</v>
      </c>
      <c r="D220" s="20">
        <v>140</v>
      </c>
      <c r="E220" s="21">
        <v>805</v>
      </c>
      <c r="F220" s="20">
        <v>50</v>
      </c>
      <c r="G220" s="20">
        <v>4</v>
      </c>
      <c r="H220" s="21">
        <v>350</v>
      </c>
      <c r="I220" s="13">
        <v>50</v>
      </c>
      <c r="J220" s="14">
        <f t="shared" si="13"/>
        <v>144</v>
      </c>
      <c r="K220" s="15">
        <f t="shared" si="14"/>
        <v>40250</v>
      </c>
      <c r="L220" s="41">
        <f>(1-$Q$2)*(E220+H220)*Sheet2!I101</f>
        <v>0</v>
      </c>
      <c r="M220" s="15">
        <f t="shared" si="15"/>
        <v>40250</v>
      </c>
      <c r="U220" s="17"/>
      <c r="V220" s="22"/>
    </row>
    <row r="221" spans="1:22" x14ac:dyDescent="0.3">
      <c r="A221" s="8" t="s">
        <v>36</v>
      </c>
      <c r="B221" s="26" t="s">
        <v>23</v>
      </c>
      <c r="C221" s="10" t="s">
        <v>16</v>
      </c>
      <c r="D221" s="11">
        <v>73</v>
      </c>
      <c r="E221" s="12">
        <v>580</v>
      </c>
      <c r="F221" s="11">
        <v>25</v>
      </c>
      <c r="G221" s="11">
        <v>1</v>
      </c>
      <c r="H221" s="12">
        <v>220</v>
      </c>
      <c r="I221" s="13">
        <v>25</v>
      </c>
      <c r="J221" s="14">
        <f t="shared" si="13"/>
        <v>74</v>
      </c>
      <c r="K221" s="15">
        <f t="shared" si="14"/>
        <v>14500</v>
      </c>
      <c r="L221" s="41">
        <f>(1-$Q$2)*(E221+H221)*Sheet2!I102</f>
        <v>0</v>
      </c>
      <c r="M221" s="15">
        <f t="shared" si="15"/>
        <v>14500</v>
      </c>
      <c r="U221" s="17"/>
      <c r="V221" s="22"/>
    </row>
    <row r="222" spans="1:22" x14ac:dyDescent="0.3">
      <c r="A222" s="18" t="s">
        <v>36</v>
      </c>
      <c r="B222" s="26" t="s">
        <v>23</v>
      </c>
      <c r="C222" s="19" t="s">
        <v>17</v>
      </c>
      <c r="D222" s="20">
        <v>73</v>
      </c>
      <c r="E222" s="21">
        <v>760</v>
      </c>
      <c r="F222" s="20">
        <v>16</v>
      </c>
      <c r="G222" s="20">
        <v>1</v>
      </c>
      <c r="H222" s="21">
        <v>220</v>
      </c>
      <c r="I222" s="13">
        <v>16</v>
      </c>
      <c r="J222" s="14">
        <f t="shared" si="13"/>
        <v>74</v>
      </c>
      <c r="K222" s="15">
        <f t="shared" si="14"/>
        <v>12160</v>
      </c>
      <c r="L222" s="41">
        <f>(1-$Q$2)*(E222+H222)*Sheet2!I103</f>
        <v>0</v>
      </c>
      <c r="M222" s="15">
        <f t="shared" si="15"/>
        <v>12160</v>
      </c>
      <c r="U222" s="17"/>
      <c r="V222" s="22"/>
    </row>
    <row r="223" spans="1:22" x14ac:dyDescent="0.3">
      <c r="A223" s="8" t="s">
        <v>36</v>
      </c>
      <c r="B223" s="26" t="s">
        <v>23</v>
      </c>
      <c r="C223" s="23" t="s">
        <v>18</v>
      </c>
      <c r="D223" s="11">
        <v>73</v>
      </c>
      <c r="E223" s="12">
        <v>644</v>
      </c>
      <c r="F223" s="11">
        <v>24</v>
      </c>
      <c r="G223" s="11">
        <v>1</v>
      </c>
      <c r="H223" s="12">
        <v>220</v>
      </c>
      <c r="I223" s="13">
        <v>24</v>
      </c>
      <c r="J223" s="14">
        <f t="shared" si="13"/>
        <v>74</v>
      </c>
      <c r="K223" s="15">
        <f t="shared" si="14"/>
        <v>15456</v>
      </c>
      <c r="L223" s="41">
        <f>(1-$Q$2)*(E223+H223)*Sheet2!I104</f>
        <v>0</v>
      </c>
      <c r="M223" s="15">
        <f t="shared" si="15"/>
        <v>15456</v>
      </c>
      <c r="U223" s="17"/>
      <c r="V223" s="22"/>
    </row>
    <row r="224" spans="1:22" x14ac:dyDescent="0.3">
      <c r="A224" s="18" t="s">
        <v>36</v>
      </c>
      <c r="B224" s="24" t="s">
        <v>25</v>
      </c>
      <c r="C224" s="10" t="s">
        <v>16</v>
      </c>
      <c r="D224" s="20">
        <v>36</v>
      </c>
      <c r="E224" s="21">
        <v>2898</v>
      </c>
      <c r="F224" s="20">
        <v>13</v>
      </c>
      <c r="G224" s="20">
        <v>1</v>
      </c>
      <c r="H224" s="21">
        <v>1300</v>
      </c>
      <c r="I224" s="13">
        <v>13</v>
      </c>
      <c r="J224" s="14">
        <f t="shared" si="13"/>
        <v>37</v>
      </c>
      <c r="K224" s="15">
        <f t="shared" si="14"/>
        <v>37674</v>
      </c>
      <c r="L224" s="41">
        <f>(1-$Q$2)*(E224+H224)*Sheet2!I105</f>
        <v>0</v>
      </c>
      <c r="M224" s="15">
        <f t="shared" si="15"/>
        <v>37674</v>
      </c>
      <c r="U224" s="17"/>
      <c r="V224" s="22"/>
    </row>
    <row r="225" spans="1:22" x14ac:dyDescent="0.3">
      <c r="A225" s="8" t="s">
        <v>36</v>
      </c>
      <c r="B225" s="24" t="s">
        <v>25</v>
      </c>
      <c r="C225" s="19" t="s">
        <v>17</v>
      </c>
      <c r="D225" s="11">
        <v>36</v>
      </c>
      <c r="E225" s="12">
        <v>3800</v>
      </c>
      <c r="F225" s="11">
        <v>8</v>
      </c>
      <c r="G225" s="11">
        <v>1</v>
      </c>
      <c r="H225" s="12">
        <v>1300</v>
      </c>
      <c r="I225" s="13">
        <v>8</v>
      </c>
      <c r="J225" s="14">
        <f t="shared" si="13"/>
        <v>37</v>
      </c>
      <c r="K225" s="15">
        <f t="shared" si="14"/>
        <v>30400</v>
      </c>
      <c r="L225" s="41">
        <f>(1-$Q$2)*(E225+H225)*Sheet2!I106</f>
        <v>0</v>
      </c>
      <c r="M225" s="15">
        <f t="shared" si="15"/>
        <v>30400</v>
      </c>
      <c r="U225" s="17"/>
      <c r="V225" s="22"/>
    </row>
    <row r="226" spans="1:22" x14ac:dyDescent="0.3">
      <c r="A226" s="18" t="s">
        <v>36</v>
      </c>
      <c r="B226" s="24" t="s">
        <v>25</v>
      </c>
      <c r="C226" s="23" t="s">
        <v>18</v>
      </c>
      <c r="D226" s="20">
        <v>36</v>
      </c>
      <c r="E226" s="21">
        <v>3220</v>
      </c>
      <c r="F226" s="20">
        <v>12</v>
      </c>
      <c r="G226" s="20">
        <v>1</v>
      </c>
      <c r="H226" s="21">
        <v>1300</v>
      </c>
      <c r="I226" s="13">
        <v>12</v>
      </c>
      <c r="J226" s="14">
        <f t="shared" si="13"/>
        <v>37</v>
      </c>
      <c r="K226" s="15">
        <f t="shared" si="14"/>
        <v>38640</v>
      </c>
      <c r="L226" s="41">
        <f>(1-$Q$2)*(E226+H226)*Sheet2!I107</f>
        <v>0</v>
      </c>
      <c r="M226" s="15">
        <f t="shared" si="15"/>
        <v>38640</v>
      </c>
      <c r="U226" s="17"/>
      <c r="V226" s="22"/>
    </row>
    <row r="227" spans="1:22" x14ac:dyDescent="0.3">
      <c r="A227" s="8" t="s">
        <v>37</v>
      </c>
      <c r="B227" s="9" t="s">
        <v>15</v>
      </c>
      <c r="C227" s="10" t="s">
        <v>16</v>
      </c>
      <c r="D227" s="11">
        <v>364</v>
      </c>
      <c r="E227" s="12">
        <v>820</v>
      </c>
      <c r="F227" s="11">
        <v>145</v>
      </c>
      <c r="G227" s="11">
        <v>11</v>
      </c>
      <c r="H227" s="12">
        <v>500</v>
      </c>
      <c r="I227" s="13">
        <v>127</v>
      </c>
      <c r="J227" s="14">
        <f t="shared" si="13"/>
        <v>375</v>
      </c>
      <c r="K227" s="15">
        <f t="shared" si="14"/>
        <v>104140</v>
      </c>
      <c r="L227" s="41">
        <f>(1-$Q$2)*(E227+H227)*Sheet2!I108</f>
        <v>0</v>
      </c>
      <c r="M227" s="15">
        <f t="shared" si="15"/>
        <v>104140</v>
      </c>
      <c r="U227" s="17"/>
      <c r="V227" s="22"/>
    </row>
    <row r="228" spans="1:22" x14ac:dyDescent="0.3">
      <c r="A228" s="18" t="s">
        <v>37</v>
      </c>
      <c r="B228" s="9" t="s">
        <v>15</v>
      </c>
      <c r="C228" s="19" t="s">
        <v>17</v>
      </c>
      <c r="D228" s="20">
        <v>364</v>
      </c>
      <c r="E228" s="21">
        <v>1075</v>
      </c>
      <c r="F228" s="20">
        <v>96</v>
      </c>
      <c r="G228" s="20">
        <v>11</v>
      </c>
      <c r="H228" s="21">
        <v>500</v>
      </c>
      <c r="I228" s="13">
        <v>96</v>
      </c>
      <c r="J228" s="14">
        <f t="shared" si="13"/>
        <v>375</v>
      </c>
      <c r="K228" s="15">
        <f t="shared" si="14"/>
        <v>103200</v>
      </c>
      <c r="L228" s="41">
        <f>(1-$Q$2)*(E228+H228)*Sheet2!I109</f>
        <v>0</v>
      </c>
      <c r="M228" s="15">
        <f t="shared" si="15"/>
        <v>103200</v>
      </c>
      <c r="U228" s="17"/>
      <c r="V228" s="22"/>
    </row>
    <row r="229" spans="1:22" x14ac:dyDescent="0.3">
      <c r="A229" s="8" t="s">
        <v>37</v>
      </c>
      <c r="B229" s="9" t="s">
        <v>15</v>
      </c>
      <c r="C229" s="23" t="s">
        <v>18</v>
      </c>
      <c r="D229" s="11">
        <v>364</v>
      </c>
      <c r="E229" s="12">
        <v>911</v>
      </c>
      <c r="F229" s="11">
        <v>141</v>
      </c>
      <c r="G229" s="11">
        <v>11</v>
      </c>
      <c r="H229" s="12">
        <v>500</v>
      </c>
      <c r="I229" s="13">
        <v>141</v>
      </c>
      <c r="J229" s="14">
        <f t="shared" si="13"/>
        <v>375</v>
      </c>
      <c r="K229" s="15">
        <f t="shared" si="14"/>
        <v>128451</v>
      </c>
      <c r="L229" s="41">
        <f>(1-$Q$2)*(E229+H229)*Sheet2!I110</f>
        <v>0</v>
      </c>
      <c r="M229" s="15">
        <f t="shared" si="15"/>
        <v>128451</v>
      </c>
      <c r="U229" s="17"/>
      <c r="V229" s="22"/>
    </row>
    <row r="230" spans="1:22" x14ac:dyDescent="0.3">
      <c r="A230" s="18" t="s">
        <v>37</v>
      </c>
      <c r="B230" s="9" t="s">
        <v>19</v>
      </c>
      <c r="C230" s="10" t="s">
        <v>16</v>
      </c>
      <c r="D230" s="20">
        <v>109</v>
      </c>
      <c r="E230" s="21">
        <v>1002</v>
      </c>
      <c r="F230" s="20">
        <v>42</v>
      </c>
      <c r="G230" s="20">
        <v>3</v>
      </c>
      <c r="H230" s="21">
        <v>700</v>
      </c>
      <c r="I230" s="13">
        <v>42</v>
      </c>
      <c r="J230" s="14">
        <f t="shared" si="13"/>
        <v>112</v>
      </c>
      <c r="K230" s="15">
        <f t="shared" si="14"/>
        <v>42084</v>
      </c>
      <c r="L230" s="41">
        <f>(1-$Q$2)*(E230+H230)*Sheet2!I111</f>
        <v>0</v>
      </c>
      <c r="M230" s="15">
        <f t="shared" si="15"/>
        <v>42084</v>
      </c>
      <c r="U230" s="17"/>
      <c r="V230" s="22"/>
    </row>
    <row r="231" spans="1:22" x14ac:dyDescent="0.3">
      <c r="A231" s="8" t="s">
        <v>37</v>
      </c>
      <c r="B231" s="9" t="s">
        <v>19</v>
      </c>
      <c r="C231" s="19" t="s">
        <v>17</v>
      </c>
      <c r="D231" s="11">
        <v>109</v>
      </c>
      <c r="E231" s="12">
        <v>1314</v>
      </c>
      <c r="F231" s="11">
        <v>28</v>
      </c>
      <c r="G231" s="11">
        <v>3</v>
      </c>
      <c r="H231" s="12">
        <v>700</v>
      </c>
      <c r="I231" s="13">
        <v>28</v>
      </c>
      <c r="J231" s="14">
        <f t="shared" si="13"/>
        <v>112</v>
      </c>
      <c r="K231" s="15">
        <f t="shared" si="14"/>
        <v>36792</v>
      </c>
      <c r="L231" s="41">
        <f>(1-$Q$2)*(E231+H231)*Sheet2!I112</f>
        <v>0</v>
      </c>
      <c r="M231" s="15">
        <f t="shared" si="15"/>
        <v>36792</v>
      </c>
      <c r="U231" s="17"/>
      <c r="V231" s="22"/>
    </row>
    <row r="232" spans="1:22" x14ac:dyDescent="0.3">
      <c r="A232" s="18" t="s">
        <v>37</v>
      </c>
      <c r="B232" s="9" t="s">
        <v>19</v>
      </c>
      <c r="C232" s="23" t="s">
        <v>18</v>
      </c>
      <c r="D232" s="20">
        <v>109</v>
      </c>
      <c r="E232" s="21">
        <v>1113</v>
      </c>
      <c r="F232" s="20">
        <v>41</v>
      </c>
      <c r="G232" s="20">
        <v>3</v>
      </c>
      <c r="H232" s="21">
        <v>700</v>
      </c>
      <c r="I232" s="13">
        <v>41</v>
      </c>
      <c r="J232" s="14">
        <f t="shared" si="13"/>
        <v>112</v>
      </c>
      <c r="K232" s="15">
        <f t="shared" si="14"/>
        <v>45633</v>
      </c>
      <c r="L232" s="41">
        <f>(1-$Q$2)*(E232+H232)*Sheet2!I113</f>
        <v>0</v>
      </c>
      <c r="M232" s="15">
        <f t="shared" si="15"/>
        <v>45633</v>
      </c>
      <c r="U232" s="17"/>
      <c r="V232" s="22"/>
    </row>
    <row r="233" spans="1:22" x14ac:dyDescent="0.3">
      <c r="A233" s="8" t="s">
        <v>37</v>
      </c>
      <c r="B233" s="25" t="s">
        <v>21</v>
      </c>
      <c r="C233" s="10" t="s">
        <v>16</v>
      </c>
      <c r="D233" s="11">
        <v>383</v>
      </c>
      <c r="E233" s="12">
        <v>474</v>
      </c>
      <c r="F233" s="11">
        <v>150</v>
      </c>
      <c r="G233" s="11">
        <v>11</v>
      </c>
      <c r="H233" s="12">
        <v>250</v>
      </c>
      <c r="I233" s="13">
        <v>138</v>
      </c>
      <c r="J233" s="14">
        <f t="shared" si="13"/>
        <v>394</v>
      </c>
      <c r="K233" s="15">
        <f t="shared" si="14"/>
        <v>65412</v>
      </c>
      <c r="L233" s="41">
        <f>(1-$Q$2)*(E233+H233)*Sheet2!I114</f>
        <v>0</v>
      </c>
      <c r="M233" s="15">
        <f t="shared" si="15"/>
        <v>65412</v>
      </c>
      <c r="U233" s="17"/>
      <c r="V233" s="22"/>
    </row>
    <row r="234" spans="1:22" x14ac:dyDescent="0.3">
      <c r="A234" s="18" t="s">
        <v>37</v>
      </c>
      <c r="B234" s="25" t="s">
        <v>21</v>
      </c>
      <c r="C234" s="19" t="s">
        <v>17</v>
      </c>
      <c r="D234" s="20">
        <v>383</v>
      </c>
      <c r="E234" s="21">
        <v>621</v>
      </c>
      <c r="F234" s="20">
        <v>99</v>
      </c>
      <c r="G234" s="20">
        <v>11</v>
      </c>
      <c r="H234" s="21">
        <v>250</v>
      </c>
      <c r="I234" s="13">
        <v>99</v>
      </c>
      <c r="J234" s="14">
        <f t="shared" si="13"/>
        <v>394</v>
      </c>
      <c r="K234" s="15">
        <f t="shared" si="14"/>
        <v>61479</v>
      </c>
      <c r="L234" s="41">
        <f>(1-$Q$2)*(E234+H234)*Sheet2!I115</f>
        <v>0</v>
      </c>
      <c r="M234" s="15">
        <f t="shared" si="15"/>
        <v>61479</v>
      </c>
      <c r="U234" s="17"/>
      <c r="V234" s="22"/>
    </row>
    <row r="235" spans="1:22" x14ac:dyDescent="0.3">
      <c r="A235" s="8" t="s">
        <v>37</v>
      </c>
      <c r="B235" s="25" t="s">
        <v>21</v>
      </c>
      <c r="C235" s="23" t="s">
        <v>18</v>
      </c>
      <c r="D235" s="11">
        <v>383</v>
      </c>
      <c r="E235" s="12">
        <v>526</v>
      </c>
      <c r="F235" s="11">
        <v>146</v>
      </c>
      <c r="G235" s="11">
        <v>11</v>
      </c>
      <c r="H235" s="12">
        <v>250</v>
      </c>
      <c r="I235" s="13">
        <v>146</v>
      </c>
      <c r="J235" s="14">
        <f t="shared" si="13"/>
        <v>394</v>
      </c>
      <c r="K235" s="15">
        <f t="shared" si="14"/>
        <v>76796</v>
      </c>
      <c r="L235" s="41">
        <f>(1-$Q$2)*(E235+H235)*Sheet2!I116</f>
        <v>0</v>
      </c>
      <c r="M235" s="15">
        <f t="shared" si="15"/>
        <v>76796</v>
      </c>
      <c r="U235" s="17"/>
      <c r="V235" s="22"/>
    </row>
    <row r="236" spans="1:22" x14ac:dyDescent="0.3">
      <c r="A236" s="18" t="s">
        <v>37</v>
      </c>
      <c r="B236" s="25" t="s">
        <v>22</v>
      </c>
      <c r="C236" s="10" t="s">
        <v>16</v>
      </c>
      <c r="D236" s="20">
        <v>250</v>
      </c>
      <c r="E236" s="21">
        <v>638</v>
      </c>
      <c r="F236" s="20">
        <v>91</v>
      </c>
      <c r="G236" s="20">
        <v>6</v>
      </c>
      <c r="H236" s="21">
        <v>350</v>
      </c>
      <c r="I236" s="13">
        <v>91</v>
      </c>
      <c r="J236" s="14">
        <f t="shared" si="13"/>
        <v>256</v>
      </c>
      <c r="K236" s="15">
        <f t="shared" si="14"/>
        <v>58058</v>
      </c>
      <c r="L236" s="41">
        <f>(1-$Q$2)*(E236+H236)*Sheet2!I117</f>
        <v>0</v>
      </c>
      <c r="M236" s="15">
        <f t="shared" si="15"/>
        <v>58058</v>
      </c>
      <c r="U236" s="17"/>
      <c r="V236" s="22"/>
    </row>
    <row r="237" spans="1:22" x14ac:dyDescent="0.3">
      <c r="A237" s="8" t="s">
        <v>37</v>
      </c>
      <c r="B237" s="25" t="s">
        <v>22</v>
      </c>
      <c r="C237" s="19" t="s">
        <v>17</v>
      </c>
      <c r="D237" s="11">
        <v>250</v>
      </c>
      <c r="E237" s="12">
        <v>836</v>
      </c>
      <c r="F237" s="11">
        <v>60</v>
      </c>
      <c r="G237" s="11">
        <v>6</v>
      </c>
      <c r="H237" s="12">
        <v>350</v>
      </c>
      <c r="I237" s="13">
        <v>60</v>
      </c>
      <c r="J237" s="14">
        <f t="shared" si="13"/>
        <v>256</v>
      </c>
      <c r="K237" s="15">
        <f t="shared" si="14"/>
        <v>50160</v>
      </c>
      <c r="L237" s="41">
        <f>(1-$Q$2)*(E237+H237)*Sheet2!I118</f>
        <v>0</v>
      </c>
      <c r="M237" s="15">
        <f t="shared" si="15"/>
        <v>50160</v>
      </c>
      <c r="U237" s="17"/>
      <c r="V237" s="22"/>
    </row>
    <row r="238" spans="1:22" x14ac:dyDescent="0.3">
      <c r="A238" s="18" t="s">
        <v>37</v>
      </c>
      <c r="B238" s="25" t="s">
        <v>22</v>
      </c>
      <c r="C238" s="23" t="s">
        <v>18</v>
      </c>
      <c r="D238" s="20">
        <v>250</v>
      </c>
      <c r="E238" s="21">
        <v>708</v>
      </c>
      <c r="F238" s="20">
        <v>89</v>
      </c>
      <c r="G238" s="20">
        <v>6</v>
      </c>
      <c r="H238" s="21">
        <v>350</v>
      </c>
      <c r="I238" s="13">
        <v>89</v>
      </c>
      <c r="J238" s="14">
        <f t="shared" si="13"/>
        <v>256</v>
      </c>
      <c r="K238" s="15">
        <f t="shared" si="14"/>
        <v>63012</v>
      </c>
      <c r="L238" s="41">
        <f>(1-$Q$2)*(E238+H238)*Sheet2!I119</f>
        <v>0</v>
      </c>
      <c r="M238" s="15">
        <f t="shared" si="15"/>
        <v>63012</v>
      </c>
      <c r="U238" s="17"/>
      <c r="V238" s="22"/>
    </row>
    <row r="239" spans="1:22" x14ac:dyDescent="0.3">
      <c r="A239" s="8" t="s">
        <v>37</v>
      </c>
      <c r="B239" s="24" t="s">
        <v>25</v>
      </c>
      <c r="C239" s="10" t="s">
        <v>16</v>
      </c>
      <c r="D239" s="11">
        <v>64</v>
      </c>
      <c r="E239" s="12">
        <v>2550</v>
      </c>
      <c r="F239" s="11">
        <v>22</v>
      </c>
      <c r="G239" s="11">
        <v>1</v>
      </c>
      <c r="H239" s="12">
        <v>1300</v>
      </c>
      <c r="I239" s="13">
        <v>22</v>
      </c>
      <c r="J239" s="14">
        <f t="shared" si="13"/>
        <v>65</v>
      </c>
      <c r="K239" s="15">
        <f t="shared" si="14"/>
        <v>56100</v>
      </c>
      <c r="L239" s="41">
        <f>(1-$Q$2)*(E239+H239)*Sheet2!I120</f>
        <v>0</v>
      </c>
      <c r="M239" s="15">
        <f t="shared" si="15"/>
        <v>56100</v>
      </c>
      <c r="U239" s="17"/>
      <c r="V239" s="22"/>
    </row>
    <row r="240" spans="1:22" x14ac:dyDescent="0.3">
      <c r="A240" s="18" t="s">
        <v>37</v>
      </c>
      <c r="B240" s="24" t="s">
        <v>25</v>
      </c>
      <c r="C240" s="19" t="s">
        <v>17</v>
      </c>
      <c r="D240" s="20">
        <v>64</v>
      </c>
      <c r="E240" s="21">
        <v>3344</v>
      </c>
      <c r="F240" s="20">
        <v>15</v>
      </c>
      <c r="G240" s="20">
        <v>1</v>
      </c>
      <c r="H240" s="21">
        <v>1300</v>
      </c>
      <c r="I240" s="13">
        <v>15</v>
      </c>
      <c r="J240" s="14">
        <f t="shared" si="13"/>
        <v>65</v>
      </c>
      <c r="K240" s="15">
        <f t="shared" si="14"/>
        <v>50160</v>
      </c>
      <c r="L240" s="41">
        <f>(1-$Q$2)*(E240+H240)*Sheet2!I121</f>
        <v>0</v>
      </c>
      <c r="M240" s="15">
        <f t="shared" si="15"/>
        <v>50160</v>
      </c>
      <c r="U240" s="17"/>
      <c r="V240" s="22"/>
    </row>
    <row r="241" spans="1:22" x14ac:dyDescent="0.3">
      <c r="A241" s="8" t="s">
        <v>37</v>
      </c>
      <c r="B241" s="24" t="s">
        <v>25</v>
      </c>
      <c r="C241" s="23" t="s">
        <v>18</v>
      </c>
      <c r="D241" s="11">
        <v>64</v>
      </c>
      <c r="E241" s="12">
        <v>2834</v>
      </c>
      <c r="F241" s="11">
        <v>22</v>
      </c>
      <c r="G241" s="11">
        <v>1</v>
      </c>
      <c r="H241" s="12">
        <v>1300</v>
      </c>
      <c r="I241" s="13">
        <v>22</v>
      </c>
      <c r="J241" s="14">
        <f t="shared" si="13"/>
        <v>65</v>
      </c>
      <c r="K241" s="15">
        <f t="shared" si="14"/>
        <v>62348</v>
      </c>
      <c r="L241" s="41">
        <f>(1-$Q$2)*(E241+H241)*Sheet2!I122</f>
        <v>0</v>
      </c>
      <c r="M241" s="15">
        <f t="shared" si="15"/>
        <v>62348</v>
      </c>
      <c r="U241" s="17"/>
      <c r="V241" s="22"/>
    </row>
    <row r="242" spans="1:22" x14ac:dyDescent="0.3">
      <c r="A242" s="18" t="s">
        <v>38</v>
      </c>
      <c r="B242" s="9" t="s">
        <v>15</v>
      </c>
      <c r="C242" s="10" t="s">
        <v>16</v>
      </c>
      <c r="D242" s="20">
        <v>1090</v>
      </c>
      <c r="E242" s="21">
        <v>902</v>
      </c>
      <c r="F242" s="20">
        <v>435</v>
      </c>
      <c r="G242" s="20">
        <v>33</v>
      </c>
      <c r="H242" s="21">
        <v>500</v>
      </c>
      <c r="I242" s="13">
        <v>381</v>
      </c>
      <c r="J242" s="14">
        <f t="shared" si="13"/>
        <v>1123</v>
      </c>
      <c r="K242" s="15">
        <f t="shared" si="14"/>
        <v>343662</v>
      </c>
      <c r="L242" s="41">
        <f>(1-$Q$2)*(E242+H242)*Sheet2!I123</f>
        <v>0</v>
      </c>
      <c r="M242" s="15">
        <f t="shared" si="15"/>
        <v>343662</v>
      </c>
      <c r="U242" s="17"/>
      <c r="V242" s="22"/>
    </row>
    <row r="243" spans="1:22" x14ac:dyDescent="0.3">
      <c r="A243" s="8" t="s">
        <v>38</v>
      </c>
      <c r="B243" s="9" t="s">
        <v>15</v>
      </c>
      <c r="C243" s="19" t="s">
        <v>17</v>
      </c>
      <c r="D243" s="11">
        <v>1090</v>
      </c>
      <c r="E243" s="12">
        <v>1183</v>
      </c>
      <c r="F243" s="11">
        <v>286</v>
      </c>
      <c r="G243" s="11">
        <v>33</v>
      </c>
      <c r="H243" s="12">
        <v>500</v>
      </c>
      <c r="I243" s="13">
        <v>286</v>
      </c>
      <c r="J243" s="14">
        <f t="shared" si="13"/>
        <v>1123</v>
      </c>
      <c r="K243" s="15">
        <f t="shared" si="14"/>
        <v>338338</v>
      </c>
      <c r="L243" s="41">
        <f>(1-$Q$2)*(E243+H243)*Sheet2!I124</f>
        <v>0</v>
      </c>
      <c r="M243" s="15">
        <f t="shared" si="15"/>
        <v>338338</v>
      </c>
      <c r="U243" s="17"/>
      <c r="V243" s="22"/>
    </row>
    <row r="244" spans="1:22" x14ac:dyDescent="0.3">
      <c r="A244" s="18" t="s">
        <v>38</v>
      </c>
      <c r="B244" s="9" t="s">
        <v>15</v>
      </c>
      <c r="C244" s="23" t="s">
        <v>18</v>
      </c>
      <c r="D244" s="20">
        <v>1090</v>
      </c>
      <c r="E244" s="21">
        <v>1003</v>
      </c>
      <c r="F244" s="20">
        <v>423</v>
      </c>
      <c r="G244" s="20">
        <v>33</v>
      </c>
      <c r="H244" s="21">
        <v>500</v>
      </c>
      <c r="I244" s="13">
        <v>423</v>
      </c>
      <c r="J244" s="14">
        <f t="shared" si="13"/>
        <v>1123</v>
      </c>
      <c r="K244" s="15">
        <f t="shared" si="14"/>
        <v>424269</v>
      </c>
      <c r="L244" s="41">
        <f>(1-$Q$2)*(E244+H244)*Sheet2!I125</f>
        <v>0</v>
      </c>
      <c r="M244" s="15">
        <f t="shared" si="15"/>
        <v>424269</v>
      </c>
      <c r="U244" s="17"/>
      <c r="V244" s="22"/>
    </row>
    <row r="245" spans="1:22" x14ac:dyDescent="0.3">
      <c r="A245" s="8" t="s">
        <v>38</v>
      </c>
      <c r="B245" s="9" t="s">
        <v>19</v>
      </c>
      <c r="C245" s="10" t="s">
        <v>16</v>
      </c>
      <c r="D245" s="11">
        <v>306</v>
      </c>
      <c r="E245" s="12">
        <v>1103</v>
      </c>
      <c r="F245" s="11">
        <v>119</v>
      </c>
      <c r="G245" s="11">
        <v>8</v>
      </c>
      <c r="H245" s="12">
        <v>700</v>
      </c>
      <c r="I245" s="13">
        <v>119</v>
      </c>
      <c r="J245" s="14">
        <f t="shared" si="13"/>
        <v>314</v>
      </c>
      <c r="K245" s="15">
        <f t="shared" si="14"/>
        <v>131257</v>
      </c>
      <c r="L245" s="41">
        <f>(1-$Q$2)*(E245+H245)*Sheet2!I126</f>
        <v>0</v>
      </c>
      <c r="M245" s="15">
        <f t="shared" si="15"/>
        <v>131257</v>
      </c>
      <c r="U245" s="17"/>
      <c r="V245" s="22"/>
    </row>
    <row r="246" spans="1:22" x14ac:dyDescent="0.3">
      <c r="A246" s="18" t="s">
        <v>38</v>
      </c>
      <c r="B246" s="9" t="s">
        <v>19</v>
      </c>
      <c r="C246" s="19" t="s">
        <v>17</v>
      </c>
      <c r="D246" s="20">
        <v>306</v>
      </c>
      <c r="E246" s="21">
        <v>1446</v>
      </c>
      <c r="F246" s="20">
        <v>78</v>
      </c>
      <c r="G246" s="20">
        <v>8</v>
      </c>
      <c r="H246" s="21">
        <v>700</v>
      </c>
      <c r="I246" s="13">
        <v>78</v>
      </c>
      <c r="J246" s="14">
        <f t="shared" si="13"/>
        <v>314</v>
      </c>
      <c r="K246" s="15">
        <f t="shared" si="14"/>
        <v>112788</v>
      </c>
      <c r="L246" s="41">
        <f>(1-$Q$2)*(E246+H246)*Sheet2!I127</f>
        <v>0</v>
      </c>
      <c r="M246" s="15">
        <f t="shared" si="15"/>
        <v>112788</v>
      </c>
      <c r="U246" s="17"/>
      <c r="V246" s="22"/>
    </row>
    <row r="247" spans="1:22" x14ac:dyDescent="0.3">
      <c r="A247" s="8" t="s">
        <v>38</v>
      </c>
      <c r="B247" s="9" t="s">
        <v>19</v>
      </c>
      <c r="C247" s="23" t="s">
        <v>18</v>
      </c>
      <c r="D247" s="11">
        <v>306</v>
      </c>
      <c r="E247" s="12">
        <v>1225</v>
      </c>
      <c r="F247" s="11">
        <v>115</v>
      </c>
      <c r="G247" s="11">
        <v>8</v>
      </c>
      <c r="H247" s="12">
        <v>700</v>
      </c>
      <c r="I247" s="13">
        <v>115</v>
      </c>
      <c r="J247" s="14">
        <f t="shared" si="13"/>
        <v>314</v>
      </c>
      <c r="K247" s="15">
        <f t="shared" si="14"/>
        <v>140875</v>
      </c>
      <c r="L247" s="41">
        <f>(1-$Q$2)*(E247+H247)*Sheet2!I128</f>
        <v>0</v>
      </c>
      <c r="M247" s="15">
        <f t="shared" si="15"/>
        <v>140875</v>
      </c>
      <c r="U247" s="17"/>
      <c r="V247" s="22"/>
    </row>
    <row r="248" spans="1:22" x14ac:dyDescent="0.3">
      <c r="A248" s="18" t="s">
        <v>38</v>
      </c>
      <c r="B248" s="24" t="s">
        <v>20</v>
      </c>
      <c r="C248" s="10" t="s">
        <v>16</v>
      </c>
      <c r="D248" s="20">
        <v>80</v>
      </c>
      <c r="E248" s="21">
        <v>5214</v>
      </c>
      <c r="F248" s="20">
        <v>27</v>
      </c>
      <c r="G248" s="20">
        <v>1</v>
      </c>
      <c r="H248" s="21">
        <v>2500</v>
      </c>
      <c r="I248" s="13">
        <v>27</v>
      </c>
      <c r="J248" s="14">
        <f t="shared" si="13"/>
        <v>81</v>
      </c>
      <c r="K248" s="15">
        <f t="shared" si="14"/>
        <v>140778</v>
      </c>
      <c r="L248" s="41">
        <f>(1-$Q$2)*(E248+H248)*Sheet2!I129</f>
        <v>0</v>
      </c>
      <c r="M248" s="15">
        <f t="shared" si="15"/>
        <v>140778</v>
      </c>
      <c r="U248" s="17"/>
      <c r="V248" s="22"/>
    </row>
    <row r="249" spans="1:22" x14ac:dyDescent="0.3">
      <c r="A249" s="8" t="s">
        <v>38</v>
      </c>
      <c r="B249" s="24" t="s">
        <v>20</v>
      </c>
      <c r="C249" s="19" t="s">
        <v>17</v>
      </c>
      <c r="D249" s="11">
        <v>80</v>
      </c>
      <c r="E249" s="12">
        <v>6836</v>
      </c>
      <c r="F249" s="11">
        <v>18</v>
      </c>
      <c r="G249" s="11">
        <v>1</v>
      </c>
      <c r="H249" s="12">
        <v>2500</v>
      </c>
      <c r="I249" s="13">
        <v>18</v>
      </c>
      <c r="J249" s="14">
        <f t="shared" si="13"/>
        <v>81</v>
      </c>
      <c r="K249" s="15">
        <f t="shared" si="14"/>
        <v>123048</v>
      </c>
      <c r="L249" s="41">
        <f>(1-$Q$2)*(E249+H249)*Sheet2!I130</f>
        <v>0</v>
      </c>
      <c r="M249" s="15">
        <f t="shared" si="15"/>
        <v>123048</v>
      </c>
      <c r="U249" s="17"/>
      <c r="V249" s="22"/>
    </row>
    <row r="250" spans="1:22" x14ac:dyDescent="0.3">
      <c r="A250" s="18" t="s">
        <v>38</v>
      </c>
      <c r="B250" s="24" t="s">
        <v>20</v>
      </c>
      <c r="C250" s="23" t="s">
        <v>18</v>
      </c>
      <c r="D250" s="20">
        <v>80</v>
      </c>
      <c r="E250" s="21">
        <v>5793</v>
      </c>
      <c r="F250" s="20">
        <v>26</v>
      </c>
      <c r="G250" s="20">
        <v>1</v>
      </c>
      <c r="H250" s="21">
        <v>2500</v>
      </c>
      <c r="I250" s="13">
        <v>26</v>
      </c>
      <c r="J250" s="14">
        <f t="shared" si="13"/>
        <v>81</v>
      </c>
      <c r="K250" s="15">
        <f t="shared" si="14"/>
        <v>150618</v>
      </c>
      <c r="L250" s="41">
        <f>(1-$Q$2)*(E250+H250)*Sheet2!I131</f>
        <v>0</v>
      </c>
      <c r="M250" s="15">
        <f t="shared" si="15"/>
        <v>150618</v>
      </c>
      <c r="U250" s="17"/>
      <c r="V250" s="22"/>
    </row>
    <row r="251" spans="1:22" x14ac:dyDescent="0.3">
      <c r="A251" s="8" t="s">
        <v>38</v>
      </c>
      <c r="B251" s="25" t="s">
        <v>21</v>
      </c>
      <c r="C251" s="10" t="s">
        <v>16</v>
      </c>
      <c r="D251" s="11">
        <v>374</v>
      </c>
      <c r="E251" s="12">
        <v>521</v>
      </c>
      <c r="F251" s="11">
        <v>146</v>
      </c>
      <c r="G251" s="11">
        <v>11</v>
      </c>
      <c r="H251" s="12">
        <v>250</v>
      </c>
      <c r="I251" s="13">
        <v>135</v>
      </c>
      <c r="J251" s="14">
        <f t="shared" si="13"/>
        <v>385</v>
      </c>
      <c r="K251" s="15">
        <f t="shared" si="14"/>
        <v>70335</v>
      </c>
      <c r="L251" s="41">
        <f>(1-$Q$2)*(E251+H251)*Sheet2!I132</f>
        <v>0</v>
      </c>
      <c r="M251" s="15">
        <f t="shared" si="15"/>
        <v>70335</v>
      </c>
      <c r="U251" s="17"/>
      <c r="V251" s="22"/>
    </row>
    <row r="252" spans="1:22" x14ac:dyDescent="0.3">
      <c r="A252" s="18" t="s">
        <v>38</v>
      </c>
      <c r="B252" s="25" t="s">
        <v>21</v>
      </c>
      <c r="C252" s="19" t="s">
        <v>17</v>
      </c>
      <c r="D252" s="20">
        <v>374</v>
      </c>
      <c r="E252" s="21">
        <v>684</v>
      </c>
      <c r="F252" s="20">
        <v>96</v>
      </c>
      <c r="G252" s="20">
        <v>11</v>
      </c>
      <c r="H252" s="21">
        <v>250</v>
      </c>
      <c r="I252" s="13">
        <v>96</v>
      </c>
      <c r="J252" s="14">
        <f t="shared" si="13"/>
        <v>385</v>
      </c>
      <c r="K252" s="15">
        <f t="shared" si="14"/>
        <v>65664</v>
      </c>
      <c r="L252" s="41">
        <f>(1-$Q$2)*(E252+H252)*Sheet2!I133</f>
        <v>0</v>
      </c>
      <c r="M252" s="15">
        <f t="shared" si="15"/>
        <v>65664</v>
      </c>
      <c r="U252" s="17"/>
      <c r="V252" s="22"/>
    </row>
    <row r="253" spans="1:22" x14ac:dyDescent="0.3">
      <c r="A253" s="8" t="s">
        <v>38</v>
      </c>
      <c r="B253" s="25" t="s">
        <v>21</v>
      </c>
      <c r="C253" s="23" t="s">
        <v>18</v>
      </c>
      <c r="D253" s="11">
        <v>374</v>
      </c>
      <c r="E253" s="12">
        <v>579</v>
      </c>
      <c r="F253" s="11">
        <v>143</v>
      </c>
      <c r="G253" s="11">
        <v>11</v>
      </c>
      <c r="H253" s="12">
        <v>250</v>
      </c>
      <c r="I253" s="13">
        <v>143</v>
      </c>
      <c r="J253" s="14">
        <f t="shared" si="13"/>
        <v>385</v>
      </c>
      <c r="K253" s="15">
        <f t="shared" si="14"/>
        <v>82797</v>
      </c>
      <c r="L253" s="41">
        <f>(1-$Q$2)*(E253+H253)*Sheet2!I134</f>
        <v>0</v>
      </c>
      <c r="M253" s="15">
        <f t="shared" si="15"/>
        <v>82797</v>
      </c>
      <c r="U253" s="17"/>
      <c r="V253" s="22"/>
    </row>
    <row r="254" spans="1:22" x14ac:dyDescent="0.3">
      <c r="A254" s="18" t="s">
        <v>38</v>
      </c>
      <c r="B254" s="25" t="s">
        <v>22</v>
      </c>
      <c r="C254" s="10" t="s">
        <v>16</v>
      </c>
      <c r="D254" s="20">
        <v>111</v>
      </c>
      <c r="E254" s="21">
        <v>702</v>
      </c>
      <c r="F254" s="20">
        <v>40</v>
      </c>
      <c r="G254" s="20">
        <v>3</v>
      </c>
      <c r="H254" s="21">
        <v>350</v>
      </c>
      <c r="I254" s="13">
        <v>40</v>
      </c>
      <c r="J254" s="14">
        <f t="shared" si="13"/>
        <v>114</v>
      </c>
      <c r="K254" s="15">
        <f t="shared" si="14"/>
        <v>28080</v>
      </c>
      <c r="L254" s="41">
        <f>(1-$Q$2)*(E254+H254)*Sheet2!I135</f>
        <v>0</v>
      </c>
      <c r="M254" s="15">
        <f t="shared" si="15"/>
        <v>28080</v>
      </c>
      <c r="U254" s="17"/>
      <c r="V254" s="22"/>
    </row>
    <row r="255" spans="1:22" x14ac:dyDescent="0.3">
      <c r="A255" s="8" t="s">
        <v>38</v>
      </c>
      <c r="B255" s="25" t="s">
        <v>22</v>
      </c>
      <c r="C255" s="19" t="s">
        <v>17</v>
      </c>
      <c r="D255" s="11">
        <v>111</v>
      </c>
      <c r="E255" s="12">
        <v>920</v>
      </c>
      <c r="F255" s="11">
        <v>27</v>
      </c>
      <c r="G255" s="11">
        <v>3</v>
      </c>
      <c r="H255" s="12">
        <v>350</v>
      </c>
      <c r="I255" s="13">
        <v>27</v>
      </c>
      <c r="J255" s="14">
        <f t="shared" si="13"/>
        <v>114</v>
      </c>
      <c r="K255" s="15">
        <f t="shared" si="14"/>
        <v>24840</v>
      </c>
      <c r="L255" s="41">
        <f>(1-$Q$2)*(E255+H255)*Sheet2!I136</f>
        <v>0</v>
      </c>
      <c r="M255" s="15">
        <f t="shared" si="15"/>
        <v>24840</v>
      </c>
      <c r="U255" s="17"/>
      <c r="V255" s="22"/>
    </row>
    <row r="256" spans="1:22" x14ac:dyDescent="0.3">
      <c r="A256" s="18" t="s">
        <v>38</v>
      </c>
      <c r="B256" s="25" t="s">
        <v>22</v>
      </c>
      <c r="C256" s="23" t="s">
        <v>18</v>
      </c>
      <c r="D256" s="20">
        <v>111</v>
      </c>
      <c r="E256" s="21">
        <v>780</v>
      </c>
      <c r="F256" s="20">
        <v>39</v>
      </c>
      <c r="G256" s="20">
        <v>3</v>
      </c>
      <c r="H256" s="21">
        <v>350</v>
      </c>
      <c r="I256" s="13">
        <v>39</v>
      </c>
      <c r="J256" s="14">
        <f t="shared" si="13"/>
        <v>114</v>
      </c>
      <c r="K256" s="15">
        <f t="shared" si="14"/>
        <v>30420</v>
      </c>
      <c r="L256" s="41">
        <f>(1-$Q$2)*(E256+H256)*Sheet2!I137</f>
        <v>0</v>
      </c>
      <c r="M256" s="15">
        <f t="shared" si="15"/>
        <v>30420</v>
      </c>
      <c r="U256" s="17"/>
      <c r="V256" s="22"/>
    </row>
    <row r="257" spans="1:22" x14ac:dyDescent="0.3">
      <c r="A257" s="8" t="s">
        <v>38</v>
      </c>
      <c r="B257" s="26" t="s">
        <v>23</v>
      </c>
      <c r="C257" s="10" t="s">
        <v>16</v>
      </c>
      <c r="D257" s="11">
        <v>82</v>
      </c>
      <c r="E257" s="12">
        <v>561</v>
      </c>
      <c r="F257" s="11">
        <v>28</v>
      </c>
      <c r="G257" s="11">
        <v>2</v>
      </c>
      <c r="H257" s="12">
        <v>220</v>
      </c>
      <c r="I257" s="13">
        <v>28</v>
      </c>
      <c r="J257" s="14">
        <f t="shared" si="13"/>
        <v>84</v>
      </c>
      <c r="K257" s="15">
        <f t="shared" si="14"/>
        <v>15708</v>
      </c>
      <c r="L257" s="41">
        <f>(1-$Q$2)*(E257+H257)*Sheet2!I138</f>
        <v>0</v>
      </c>
      <c r="M257" s="15">
        <f t="shared" si="15"/>
        <v>15708</v>
      </c>
      <c r="U257" s="17"/>
      <c r="V257" s="22"/>
    </row>
    <row r="258" spans="1:22" x14ac:dyDescent="0.3">
      <c r="A258" s="18" t="s">
        <v>38</v>
      </c>
      <c r="B258" s="26" t="s">
        <v>23</v>
      </c>
      <c r="C258" s="19" t="s">
        <v>17</v>
      </c>
      <c r="D258" s="20">
        <v>82</v>
      </c>
      <c r="E258" s="21">
        <v>736</v>
      </c>
      <c r="F258" s="20">
        <v>18</v>
      </c>
      <c r="G258" s="20">
        <v>2</v>
      </c>
      <c r="H258" s="21">
        <v>220</v>
      </c>
      <c r="I258" s="13">
        <v>18</v>
      </c>
      <c r="J258" s="14">
        <f t="shared" si="13"/>
        <v>84</v>
      </c>
      <c r="K258" s="15">
        <f t="shared" si="14"/>
        <v>13248</v>
      </c>
      <c r="L258" s="41">
        <f>(1-$Q$2)*(E258+H258)*Sheet2!I139</f>
        <v>0</v>
      </c>
      <c r="M258" s="15">
        <f t="shared" si="15"/>
        <v>13248</v>
      </c>
      <c r="U258" s="17"/>
      <c r="V258" s="22"/>
    </row>
    <row r="259" spans="1:22" x14ac:dyDescent="0.3">
      <c r="A259" s="8" t="s">
        <v>38</v>
      </c>
      <c r="B259" s="26" t="s">
        <v>23</v>
      </c>
      <c r="C259" s="23" t="s">
        <v>18</v>
      </c>
      <c r="D259" s="11">
        <v>82</v>
      </c>
      <c r="E259" s="12">
        <v>624</v>
      </c>
      <c r="F259" s="11">
        <v>27</v>
      </c>
      <c r="G259" s="11">
        <v>2</v>
      </c>
      <c r="H259" s="12">
        <v>220</v>
      </c>
      <c r="I259" s="13">
        <v>27</v>
      </c>
      <c r="J259" s="14">
        <f t="shared" si="13"/>
        <v>84</v>
      </c>
      <c r="K259" s="15">
        <f t="shared" si="14"/>
        <v>16848</v>
      </c>
      <c r="L259" s="41">
        <f>(1-$Q$2)*(E259+H259)*Sheet2!I140</f>
        <v>0</v>
      </c>
      <c r="M259" s="15">
        <f t="shared" si="15"/>
        <v>16848</v>
      </c>
      <c r="U259" s="17"/>
      <c r="V259" s="22"/>
    </row>
    <row r="260" spans="1:22" x14ac:dyDescent="0.3">
      <c r="A260" s="18" t="s">
        <v>39</v>
      </c>
      <c r="B260" s="9" t="s">
        <v>15</v>
      </c>
      <c r="C260" s="10" t="s">
        <v>16</v>
      </c>
      <c r="D260" s="20">
        <v>1086</v>
      </c>
      <c r="E260" s="21">
        <v>859</v>
      </c>
      <c r="F260" s="20">
        <v>433</v>
      </c>
      <c r="G260" s="20">
        <v>33</v>
      </c>
      <c r="H260" s="21">
        <v>500</v>
      </c>
      <c r="I260" s="13">
        <v>412</v>
      </c>
      <c r="J260" s="14">
        <f t="shared" si="13"/>
        <v>1119</v>
      </c>
      <c r="K260" s="15">
        <f t="shared" si="14"/>
        <v>353908</v>
      </c>
      <c r="L260" s="41">
        <f t="shared" ref="L260:L291" si="16">(1-$Q$2)*(E260+H260)*I606</f>
        <v>0</v>
      </c>
      <c r="M260" s="15">
        <f t="shared" si="15"/>
        <v>353908</v>
      </c>
      <c r="U260" s="17"/>
      <c r="V260" s="22"/>
    </row>
    <row r="261" spans="1:22" x14ac:dyDescent="0.3">
      <c r="A261" s="8" t="s">
        <v>39</v>
      </c>
      <c r="B261" s="9" t="s">
        <v>15</v>
      </c>
      <c r="C261" s="19" t="s">
        <v>17</v>
      </c>
      <c r="D261" s="11">
        <v>1086</v>
      </c>
      <c r="E261" s="12">
        <v>1126</v>
      </c>
      <c r="F261" s="11">
        <v>285</v>
      </c>
      <c r="G261" s="11">
        <v>33</v>
      </c>
      <c r="H261" s="12">
        <v>500</v>
      </c>
      <c r="I261" s="13">
        <v>285</v>
      </c>
      <c r="J261" s="14">
        <f t="shared" ref="J261:J324" si="17">D261+G261</f>
        <v>1119</v>
      </c>
      <c r="K261" s="15">
        <f t="shared" ref="K261:K324" si="18">I261*E261</f>
        <v>320910</v>
      </c>
      <c r="L261" s="41">
        <f t="shared" si="16"/>
        <v>0</v>
      </c>
      <c r="M261" s="15">
        <f t="shared" ref="M261:M324" si="19">K261-L261</f>
        <v>320910</v>
      </c>
      <c r="U261" s="17"/>
      <c r="V261" s="22"/>
    </row>
    <row r="262" spans="1:22" x14ac:dyDescent="0.3">
      <c r="A262" s="18" t="s">
        <v>39</v>
      </c>
      <c r="B262" s="9" t="s">
        <v>15</v>
      </c>
      <c r="C262" s="23" t="s">
        <v>18</v>
      </c>
      <c r="D262" s="20">
        <v>1086</v>
      </c>
      <c r="E262" s="21">
        <v>954</v>
      </c>
      <c r="F262" s="20">
        <v>422</v>
      </c>
      <c r="G262" s="20">
        <v>33</v>
      </c>
      <c r="H262" s="21">
        <v>500</v>
      </c>
      <c r="I262" s="13">
        <v>422</v>
      </c>
      <c r="J262" s="14">
        <f t="shared" si="17"/>
        <v>1119</v>
      </c>
      <c r="K262" s="15">
        <f t="shared" si="18"/>
        <v>402588</v>
      </c>
      <c r="L262" s="41">
        <f t="shared" si="16"/>
        <v>0</v>
      </c>
      <c r="M262" s="15">
        <f t="shared" si="19"/>
        <v>402588</v>
      </c>
      <c r="U262" s="17"/>
      <c r="V262" s="22"/>
    </row>
    <row r="263" spans="1:22" x14ac:dyDescent="0.3">
      <c r="A263" s="8" t="s">
        <v>39</v>
      </c>
      <c r="B263" s="9" t="s">
        <v>19</v>
      </c>
      <c r="C263" s="10" t="s">
        <v>16</v>
      </c>
      <c r="D263" s="11">
        <v>265</v>
      </c>
      <c r="E263" s="12">
        <v>1049</v>
      </c>
      <c r="F263" s="11">
        <v>103</v>
      </c>
      <c r="G263" s="11">
        <v>7</v>
      </c>
      <c r="H263" s="12">
        <v>700</v>
      </c>
      <c r="I263" s="13">
        <v>103</v>
      </c>
      <c r="J263" s="14">
        <f t="shared" si="17"/>
        <v>272</v>
      </c>
      <c r="K263" s="15">
        <f t="shared" si="18"/>
        <v>108047</v>
      </c>
      <c r="L263" s="41">
        <f t="shared" si="16"/>
        <v>0</v>
      </c>
      <c r="M263" s="15">
        <f t="shared" si="19"/>
        <v>108047</v>
      </c>
      <c r="U263" s="17"/>
      <c r="V263" s="22"/>
    </row>
    <row r="264" spans="1:22" x14ac:dyDescent="0.3">
      <c r="A264" s="18" t="s">
        <v>39</v>
      </c>
      <c r="B264" s="9" t="s">
        <v>19</v>
      </c>
      <c r="C264" s="19" t="s">
        <v>17</v>
      </c>
      <c r="D264" s="20">
        <v>265</v>
      </c>
      <c r="E264" s="21">
        <v>1376</v>
      </c>
      <c r="F264" s="20">
        <v>68</v>
      </c>
      <c r="G264" s="20">
        <v>7</v>
      </c>
      <c r="H264" s="21">
        <v>700</v>
      </c>
      <c r="I264" s="13">
        <v>68</v>
      </c>
      <c r="J264" s="14">
        <f t="shared" si="17"/>
        <v>272</v>
      </c>
      <c r="K264" s="15">
        <f t="shared" si="18"/>
        <v>93568</v>
      </c>
      <c r="L264" s="41">
        <f t="shared" si="16"/>
        <v>0</v>
      </c>
      <c r="M264" s="15">
        <f t="shared" si="19"/>
        <v>93568</v>
      </c>
      <c r="U264" s="17"/>
      <c r="V264" s="22"/>
    </row>
    <row r="265" spans="1:22" x14ac:dyDescent="0.3">
      <c r="A265" s="8" t="s">
        <v>39</v>
      </c>
      <c r="B265" s="9" t="s">
        <v>19</v>
      </c>
      <c r="C265" s="23" t="s">
        <v>18</v>
      </c>
      <c r="D265" s="11">
        <v>265</v>
      </c>
      <c r="E265" s="12">
        <v>1166</v>
      </c>
      <c r="F265" s="11">
        <v>100</v>
      </c>
      <c r="G265" s="11">
        <v>7</v>
      </c>
      <c r="H265" s="12">
        <v>700</v>
      </c>
      <c r="I265" s="13">
        <v>100</v>
      </c>
      <c r="J265" s="14">
        <f t="shared" si="17"/>
        <v>272</v>
      </c>
      <c r="K265" s="15">
        <f t="shared" si="18"/>
        <v>116600</v>
      </c>
      <c r="L265" s="41">
        <f t="shared" si="16"/>
        <v>0</v>
      </c>
      <c r="M265" s="15">
        <f t="shared" si="19"/>
        <v>116600</v>
      </c>
      <c r="U265" s="17"/>
      <c r="V265" s="22"/>
    </row>
    <row r="266" spans="1:22" x14ac:dyDescent="0.3">
      <c r="A266" s="18" t="s">
        <v>39</v>
      </c>
      <c r="B266" s="24" t="s">
        <v>20</v>
      </c>
      <c r="C266" s="10" t="s">
        <v>16</v>
      </c>
      <c r="D266" s="20">
        <v>75</v>
      </c>
      <c r="E266" s="21">
        <v>4961</v>
      </c>
      <c r="F266" s="20">
        <v>25</v>
      </c>
      <c r="G266" s="20">
        <v>1</v>
      </c>
      <c r="H266" s="21">
        <v>2500</v>
      </c>
      <c r="I266" s="13">
        <v>25</v>
      </c>
      <c r="J266" s="14">
        <f t="shared" si="17"/>
        <v>76</v>
      </c>
      <c r="K266" s="15">
        <f t="shared" si="18"/>
        <v>124025</v>
      </c>
      <c r="L266" s="41">
        <f t="shared" si="16"/>
        <v>0</v>
      </c>
      <c r="M266" s="15">
        <f t="shared" si="19"/>
        <v>124025</v>
      </c>
      <c r="U266" s="17"/>
      <c r="V266" s="22"/>
    </row>
    <row r="267" spans="1:22" x14ac:dyDescent="0.3">
      <c r="A267" s="8" t="s">
        <v>39</v>
      </c>
      <c r="B267" s="24" t="s">
        <v>20</v>
      </c>
      <c r="C267" s="19" t="s">
        <v>17</v>
      </c>
      <c r="D267" s="11">
        <v>75</v>
      </c>
      <c r="E267" s="12">
        <v>6504</v>
      </c>
      <c r="F267" s="11">
        <v>16</v>
      </c>
      <c r="G267" s="11">
        <v>1</v>
      </c>
      <c r="H267" s="12">
        <v>2500</v>
      </c>
      <c r="I267" s="13">
        <v>16</v>
      </c>
      <c r="J267" s="14">
        <f t="shared" si="17"/>
        <v>76</v>
      </c>
      <c r="K267" s="15">
        <f t="shared" si="18"/>
        <v>104064</v>
      </c>
      <c r="L267" s="41">
        <f t="shared" si="16"/>
        <v>0</v>
      </c>
      <c r="M267" s="15">
        <f t="shared" si="19"/>
        <v>104064</v>
      </c>
      <c r="U267" s="17"/>
      <c r="V267" s="22"/>
    </row>
    <row r="268" spans="1:22" x14ac:dyDescent="0.3">
      <c r="A268" s="18" t="s">
        <v>39</v>
      </c>
      <c r="B268" s="24" t="s">
        <v>20</v>
      </c>
      <c r="C268" s="23" t="s">
        <v>18</v>
      </c>
      <c r="D268" s="20">
        <v>75</v>
      </c>
      <c r="E268" s="21">
        <v>5512</v>
      </c>
      <c r="F268" s="20">
        <v>24</v>
      </c>
      <c r="G268" s="20">
        <v>1</v>
      </c>
      <c r="H268" s="21">
        <v>2500</v>
      </c>
      <c r="I268" s="13">
        <v>24</v>
      </c>
      <c r="J268" s="14">
        <f t="shared" si="17"/>
        <v>76</v>
      </c>
      <c r="K268" s="15">
        <f t="shared" si="18"/>
        <v>132288</v>
      </c>
      <c r="L268" s="41">
        <f t="shared" si="16"/>
        <v>0</v>
      </c>
      <c r="M268" s="15">
        <f t="shared" si="19"/>
        <v>132288</v>
      </c>
      <c r="U268" s="17"/>
      <c r="V268" s="22"/>
    </row>
    <row r="269" spans="1:22" x14ac:dyDescent="0.3">
      <c r="A269" s="8" t="s">
        <v>39</v>
      </c>
      <c r="B269" s="25" t="s">
        <v>21</v>
      </c>
      <c r="C269" s="10" t="s">
        <v>16</v>
      </c>
      <c r="D269" s="11">
        <v>560</v>
      </c>
      <c r="E269" s="12">
        <v>496</v>
      </c>
      <c r="F269" s="11">
        <v>219</v>
      </c>
      <c r="G269" s="11">
        <v>17</v>
      </c>
      <c r="H269" s="12">
        <v>250</v>
      </c>
      <c r="I269" s="13">
        <v>203</v>
      </c>
      <c r="J269" s="14">
        <f t="shared" si="17"/>
        <v>577</v>
      </c>
      <c r="K269" s="15">
        <f t="shared" si="18"/>
        <v>100688</v>
      </c>
      <c r="L269" s="41">
        <f t="shared" si="16"/>
        <v>0</v>
      </c>
      <c r="M269" s="15">
        <f t="shared" si="19"/>
        <v>100688</v>
      </c>
      <c r="U269" s="17"/>
      <c r="V269" s="22"/>
    </row>
    <row r="270" spans="1:22" x14ac:dyDescent="0.3">
      <c r="A270" s="18" t="s">
        <v>39</v>
      </c>
      <c r="B270" s="25" t="s">
        <v>21</v>
      </c>
      <c r="C270" s="19" t="s">
        <v>17</v>
      </c>
      <c r="D270" s="20">
        <v>560</v>
      </c>
      <c r="E270" s="21">
        <v>650</v>
      </c>
      <c r="F270" s="20">
        <v>144</v>
      </c>
      <c r="G270" s="20">
        <v>17</v>
      </c>
      <c r="H270" s="21">
        <v>250</v>
      </c>
      <c r="I270" s="13">
        <v>144</v>
      </c>
      <c r="J270" s="14">
        <f t="shared" si="17"/>
        <v>577</v>
      </c>
      <c r="K270" s="15">
        <f t="shared" si="18"/>
        <v>93600</v>
      </c>
      <c r="L270" s="41">
        <f t="shared" si="16"/>
        <v>0</v>
      </c>
      <c r="M270" s="15">
        <f t="shared" si="19"/>
        <v>93600</v>
      </c>
      <c r="U270" s="17"/>
      <c r="V270" s="22"/>
    </row>
    <row r="271" spans="1:22" x14ac:dyDescent="0.3">
      <c r="A271" s="8" t="s">
        <v>39</v>
      </c>
      <c r="B271" s="25" t="s">
        <v>21</v>
      </c>
      <c r="C271" s="23" t="s">
        <v>18</v>
      </c>
      <c r="D271" s="11">
        <v>560</v>
      </c>
      <c r="E271" s="12">
        <v>551</v>
      </c>
      <c r="F271" s="11">
        <v>213</v>
      </c>
      <c r="G271" s="11">
        <v>17</v>
      </c>
      <c r="H271" s="12">
        <v>250</v>
      </c>
      <c r="I271" s="13">
        <v>213</v>
      </c>
      <c r="J271" s="14">
        <f t="shared" si="17"/>
        <v>577</v>
      </c>
      <c r="K271" s="15">
        <f t="shared" si="18"/>
        <v>117363</v>
      </c>
      <c r="L271" s="41">
        <f t="shared" si="16"/>
        <v>0</v>
      </c>
      <c r="M271" s="15">
        <f t="shared" si="19"/>
        <v>117363</v>
      </c>
      <c r="U271" s="17"/>
      <c r="V271" s="22"/>
    </row>
    <row r="272" spans="1:22" x14ac:dyDescent="0.3">
      <c r="A272" s="18" t="s">
        <v>39</v>
      </c>
      <c r="B272" s="26" t="s">
        <v>23</v>
      </c>
      <c r="C272" s="10" t="s">
        <v>16</v>
      </c>
      <c r="D272" s="20">
        <v>128</v>
      </c>
      <c r="E272" s="21">
        <v>534</v>
      </c>
      <c r="F272" s="20">
        <v>44</v>
      </c>
      <c r="G272" s="20">
        <v>3</v>
      </c>
      <c r="H272" s="21">
        <v>220</v>
      </c>
      <c r="I272" s="13">
        <v>44</v>
      </c>
      <c r="J272" s="14">
        <f t="shared" si="17"/>
        <v>131</v>
      </c>
      <c r="K272" s="15">
        <f t="shared" si="18"/>
        <v>23496</v>
      </c>
      <c r="L272" s="41">
        <f t="shared" si="16"/>
        <v>0</v>
      </c>
      <c r="M272" s="15">
        <f t="shared" si="19"/>
        <v>23496</v>
      </c>
      <c r="U272" s="17"/>
      <c r="V272" s="22"/>
    </row>
    <row r="273" spans="1:22" x14ac:dyDescent="0.3">
      <c r="A273" s="8" t="s">
        <v>39</v>
      </c>
      <c r="B273" s="26" t="s">
        <v>23</v>
      </c>
      <c r="C273" s="19" t="s">
        <v>17</v>
      </c>
      <c r="D273" s="11">
        <v>128</v>
      </c>
      <c r="E273" s="12">
        <v>700</v>
      </c>
      <c r="F273" s="11">
        <v>29</v>
      </c>
      <c r="G273" s="11">
        <v>3</v>
      </c>
      <c r="H273" s="12">
        <v>220</v>
      </c>
      <c r="I273" s="13">
        <v>29</v>
      </c>
      <c r="J273" s="14">
        <f t="shared" si="17"/>
        <v>131</v>
      </c>
      <c r="K273" s="15">
        <f t="shared" si="18"/>
        <v>20300</v>
      </c>
      <c r="L273" s="41">
        <f t="shared" si="16"/>
        <v>0</v>
      </c>
      <c r="M273" s="15">
        <f t="shared" si="19"/>
        <v>20300</v>
      </c>
      <c r="U273" s="17"/>
      <c r="V273" s="22"/>
    </row>
    <row r="274" spans="1:22" x14ac:dyDescent="0.3">
      <c r="A274" s="18" t="s">
        <v>39</v>
      </c>
      <c r="B274" s="26" t="s">
        <v>23</v>
      </c>
      <c r="C274" s="23" t="s">
        <v>18</v>
      </c>
      <c r="D274" s="20">
        <v>128</v>
      </c>
      <c r="E274" s="21">
        <v>594</v>
      </c>
      <c r="F274" s="20">
        <v>43</v>
      </c>
      <c r="G274" s="20">
        <v>3</v>
      </c>
      <c r="H274" s="21">
        <v>220</v>
      </c>
      <c r="I274" s="13">
        <v>43</v>
      </c>
      <c r="J274" s="14">
        <f t="shared" si="17"/>
        <v>131</v>
      </c>
      <c r="K274" s="15">
        <f t="shared" si="18"/>
        <v>25542</v>
      </c>
      <c r="L274" s="41">
        <f t="shared" si="16"/>
        <v>0</v>
      </c>
      <c r="M274" s="15">
        <f t="shared" si="19"/>
        <v>25542</v>
      </c>
      <c r="U274" s="17"/>
      <c r="V274" s="22"/>
    </row>
    <row r="275" spans="1:22" x14ac:dyDescent="0.3">
      <c r="A275" s="8" t="s">
        <v>40</v>
      </c>
      <c r="B275" s="9" t="s">
        <v>15</v>
      </c>
      <c r="C275" s="10" t="s">
        <v>16</v>
      </c>
      <c r="D275" s="11">
        <v>1168</v>
      </c>
      <c r="E275" s="12">
        <v>883</v>
      </c>
      <c r="F275" s="11">
        <v>466</v>
      </c>
      <c r="G275" s="11">
        <v>35</v>
      </c>
      <c r="H275" s="12">
        <v>500</v>
      </c>
      <c r="I275" s="13">
        <v>407</v>
      </c>
      <c r="J275" s="14">
        <f t="shared" si="17"/>
        <v>1203</v>
      </c>
      <c r="K275" s="15">
        <f t="shared" si="18"/>
        <v>359381</v>
      </c>
      <c r="L275" s="41">
        <f t="shared" si="16"/>
        <v>0</v>
      </c>
      <c r="M275" s="15">
        <f t="shared" si="19"/>
        <v>359381</v>
      </c>
      <c r="U275" s="17"/>
      <c r="V275" s="22"/>
    </row>
    <row r="276" spans="1:22" x14ac:dyDescent="0.3">
      <c r="A276" s="18" t="s">
        <v>40</v>
      </c>
      <c r="B276" s="9" t="s">
        <v>15</v>
      </c>
      <c r="C276" s="19" t="s">
        <v>17</v>
      </c>
      <c r="D276" s="20">
        <v>1168</v>
      </c>
      <c r="E276" s="21">
        <v>1158</v>
      </c>
      <c r="F276" s="20">
        <v>307</v>
      </c>
      <c r="G276" s="20">
        <v>35</v>
      </c>
      <c r="H276" s="21">
        <v>500</v>
      </c>
      <c r="I276" s="13">
        <v>307</v>
      </c>
      <c r="J276" s="14">
        <f t="shared" si="17"/>
        <v>1203</v>
      </c>
      <c r="K276" s="15">
        <f t="shared" si="18"/>
        <v>355506</v>
      </c>
      <c r="L276" s="41">
        <f t="shared" si="16"/>
        <v>0</v>
      </c>
      <c r="M276" s="15">
        <f t="shared" si="19"/>
        <v>355506</v>
      </c>
      <c r="U276" s="17"/>
      <c r="V276" s="22"/>
    </row>
    <row r="277" spans="1:22" x14ac:dyDescent="0.3">
      <c r="A277" s="8" t="s">
        <v>40</v>
      </c>
      <c r="B277" s="9" t="s">
        <v>15</v>
      </c>
      <c r="C277" s="23" t="s">
        <v>18</v>
      </c>
      <c r="D277" s="11">
        <v>1168</v>
      </c>
      <c r="E277" s="12">
        <v>981</v>
      </c>
      <c r="F277" s="11">
        <v>454</v>
      </c>
      <c r="G277" s="11">
        <v>35</v>
      </c>
      <c r="H277" s="12">
        <v>500</v>
      </c>
      <c r="I277" s="13">
        <v>454</v>
      </c>
      <c r="J277" s="14">
        <f t="shared" si="17"/>
        <v>1203</v>
      </c>
      <c r="K277" s="15">
        <f t="shared" si="18"/>
        <v>445374</v>
      </c>
      <c r="L277" s="41">
        <f t="shared" si="16"/>
        <v>0</v>
      </c>
      <c r="M277" s="15">
        <f t="shared" si="19"/>
        <v>445374</v>
      </c>
      <c r="U277" s="17"/>
      <c r="V277" s="22"/>
    </row>
    <row r="278" spans="1:22" x14ac:dyDescent="0.3">
      <c r="A278" s="18" t="s">
        <v>40</v>
      </c>
      <c r="B278" s="9" t="s">
        <v>19</v>
      </c>
      <c r="C278" s="10" t="s">
        <v>16</v>
      </c>
      <c r="D278" s="20">
        <v>308</v>
      </c>
      <c r="E278" s="21">
        <v>1079</v>
      </c>
      <c r="F278" s="20">
        <v>119</v>
      </c>
      <c r="G278" s="20">
        <v>8</v>
      </c>
      <c r="H278" s="21">
        <v>700</v>
      </c>
      <c r="I278" s="13">
        <v>113</v>
      </c>
      <c r="J278" s="14">
        <f t="shared" si="17"/>
        <v>316</v>
      </c>
      <c r="K278" s="15">
        <f t="shared" si="18"/>
        <v>121927</v>
      </c>
      <c r="L278" s="41">
        <f t="shared" si="16"/>
        <v>0</v>
      </c>
      <c r="M278" s="15">
        <f t="shared" si="19"/>
        <v>121927</v>
      </c>
      <c r="U278" s="17"/>
      <c r="V278" s="22"/>
    </row>
    <row r="279" spans="1:22" x14ac:dyDescent="0.3">
      <c r="A279" s="8" t="s">
        <v>40</v>
      </c>
      <c r="B279" s="9" t="s">
        <v>19</v>
      </c>
      <c r="C279" s="19" t="s">
        <v>17</v>
      </c>
      <c r="D279" s="11">
        <v>308</v>
      </c>
      <c r="E279" s="12">
        <v>1415</v>
      </c>
      <c r="F279" s="11">
        <v>79</v>
      </c>
      <c r="G279" s="11">
        <v>8</v>
      </c>
      <c r="H279" s="12">
        <v>700</v>
      </c>
      <c r="I279" s="13">
        <v>79</v>
      </c>
      <c r="J279" s="14">
        <f t="shared" si="17"/>
        <v>316</v>
      </c>
      <c r="K279" s="15">
        <f t="shared" si="18"/>
        <v>111785</v>
      </c>
      <c r="L279" s="41">
        <f t="shared" si="16"/>
        <v>0</v>
      </c>
      <c r="M279" s="15">
        <f t="shared" si="19"/>
        <v>111785</v>
      </c>
      <c r="U279" s="17"/>
      <c r="V279" s="22"/>
    </row>
    <row r="280" spans="1:22" x14ac:dyDescent="0.3">
      <c r="A280" s="18" t="s">
        <v>40</v>
      </c>
      <c r="B280" s="9" t="s">
        <v>19</v>
      </c>
      <c r="C280" s="23" t="s">
        <v>18</v>
      </c>
      <c r="D280" s="20">
        <v>308</v>
      </c>
      <c r="E280" s="21">
        <v>1199</v>
      </c>
      <c r="F280" s="20">
        <v>116</v>
      </c>
      <c r="G280" s="20">
        <v>8</v>
      </c>
      <c r="H280" s="21">
        <v>700</v>
      </c>
      <c r="I280" s="13">
        <v>116</v>
      </c>
      <c r="J280" s="14">
        <f t="shared" si="17"/>
        <v>316</v>
      </c>
      <c r="K280" s="15">
        <f t="shared" si="18"/>
        <v>139084</v>
      </c>
      <c r="L280" s="41">
        <f t="shared" si="16"/>
        <v>0</v>
      </c>
      <c r="M280" s="15">
        <f t="shared" si="19"/>
        <v>139084</v>
      </c>
      <c r="U280" s="17"/>
      <c r="V280" s="22"/>
    </row>
    <row r="281" spans="1:22" x14ac:dyDescent="0.3">
      <c r="A281" s="8" t="s">
        <v>40</v>
      </c>
      <c r="B281" s="24" t="s">
        <v>20</v>
      </c>
      <c r="C281" s="10" t="s">
        <v>16</v>
      </c>
      <c r="D281" s="11">
        <v>95</v>
      </c>
      <c r="E281" s="12">
        <v>5101</v>
      </c>
      <c r="F281" s="11">
        <v>32</v>
      </c>
      <c r="G281" s="11">
        <v>1</v>
      </c>
      <c r="H281" s="12">
        <v>2500</v>
      </c>
      <c r="I281" s="13">
        <v>32</v>
      </c>
      <c r="J281" s="14">
        <f t="shared" si="17"/>
        <v>96</v>
      </c>
      <c r="K281" s="15">
        <f t="shared" si="18"/>
        <v>163232</v>
      </c>
      <c r="L281" s="41">
        <f t="shared" si="16"/>
        <v>0</v>
      </c>
      <c r="M281" s="15">
        <f t="shared" si="19"/>
        <v>163232</v>
      </c>
      <c r="U281" s="17"/>
      <c r="V281" s="22"/>
    </row>
    <row r="282" spans="1:22" x14ac:dyDescent="0.3">
      <c r="A282" s="18" t="s">
        <v>40</v>
      </c>
      <c r="B282" s="24" t="s">
        <v>20</v>
      </c>
      <c r="C282" s="19" t="s">
        <v>17</v>
      </c>
      <c r="D282" s="20">
        <v>95</v>
      </c>
      <c r="E282" s="21">
        <v>6688</v>
      </c>
      <c r="F282" s="20">
        <v>21</v>
      </c>
      <c r="G282" s="20">
        <v>1</v>
      </c>
      <c r="H282" s="21">
        <v>2500</v>
      </c>
      <c r="I282" s="13">
        <v>21</v>
      </c>
      <c r="J282" s="14">
        <f t="shared" si="17"/>
        <v>96</v>
      </c>
      <c r="K282" s="15">
        <f t="shared" si="18"/>
        <v>140448</v>
      </c>
      <c r="L282" s="41">
        <f t="shared" si="16"/>
        <v>0</v>
      </c>
      <c r="M282" s="15">
        <f t="shared" si="19"/>
        <v>140448</v>
      </c>
      <c r="U282" s="17"/>
      <c r="V282" s="22"/>
    </row>
    <row r="283" spans="1:22" x14ac:dyDescent="0.3">
      <c r="A283" s="8" t="s">
        <v>40</v>
      </c>
      <c r="B283" s="24" t="s">
        <v>20</v>
      </c>
      <c r="C283" s="23" t="s">
        <v>18</v>
      </c>
      <c r="D283" s="11">
        <v>95</v>
      </c>
      <c r="E283" s="12">
        <v>5668</v>
      </c>
      <c r="F283" s="11">
        <v>31</v>
      </c>
      <c r="G283" s="11">
        <v>1</v>
      </c>
      <c r="H283" s="12">
        <v>2500</v>
      </c>
      <c r="I283" s="13">
        <v>31</v>
      </c>
      <c r="J283" s="14">
        <f t="shared" si="17"/>
        <v>96</v>
      </c>
      <c r="K283" s="15">
        <f t="shared" si="18"/>
        <v>175708</v>
      </c>
      <c r="L283" s="41">
        <f t="shared" si="16"/>
        <v>0</v>
      </c>
      <c r="M283" s="15">
        <f t="shared" si="19"/>
        <v>175708</v>
      </c>
      <c r="U283" s="17"/>
      <c r="V283" s="22"/>
    </row>
    <row r="284" spans="1:22" x14ac:dyDescent="0.3">
      <c r="A284" s="18" t="s">
        <v>40</v>
      </c>
      <c r="B284" s="25" t="s">
        <v>21</v>
      </c>
      <c r="C284" s="10" t="s">
        <v>16</v>
      </c>
      <c r="D284" s="20">
        <v>408</v>
      </c>
      <c r="E284" s="21">
        <v>510</v>
      </c>
      <c r="F284" s="20">
        <v>160</v>
      </c>
      <c r="G284" s="20">
        <v>12</v>
      </c>
      <c r="H284" s="21">
        <v>250</v>
      </c>
      <c r="I284" s="13">
        <v>148</v>
      </c>
      <c r="J284" s="14">
        <f t="shared" si="17"/>
        <v>420</v>
      </c>
      <c r="K284" s="15">
        <f t="shared" si="18"/>
        <v>75480</v>
      </c>
      <c r="L284" s="41">
        <f t="shared" si="16"/>
        <v>0</v>
      </c>
      <c r="M284" s="15">
        <f t="shared" si="19"/>
        <v>75480</v>
      </c>
      <c r="U284" s="17"/>
      <c r="V284" s="22"/>
    </row>
    <row r="285" spans="1:22" x14ac:dyDescent="0.3">
      <c r="A285" s="8" t="s">
        <v>40</v>
      </c>
      <c r="B285" s="25" t="s">
        <v>21</v>
      </c>
      <c r="C285" s="19" t="s">
        <v>17</v>
      </c>
      <c r="D285" s="11">
        <v>408</v>
      </c>
      <c r="E285" s="12">
        <v>669</v>
      </c>
      <c r="F285" s="11">
        <v>105</v>
      </c>
      <c r="G285" s="11">
        <v>12</v>
      </c>
      <c r="H285" s="12">
        <v>250</v>
      </c>
      <c r="I285" s="13">
        <v>105</v>
      </c>
      <c r="J285" s="14">
        <f t="shared" si="17"/>
        <v>420</v>
      </c>
      <c r="K285" s="15">
        <f t="shared" si="18"/>
        <v>70245</v>
      </c>
      <c r="L285" s="41">
        <f t="shared" si="16"/>
        <v>0</v>
      </c>
      <c r="M285" s="15">
        <f t="shared" si="19"/>
        <v>70245</v>
      </c>
      <c r="U285" s="17"/>
      <c r="V285" s="22"/>
    </row>
    <row r="286" spans="1:22" x14ac:dyDescent="0.3">
      <c r="A286" s="18" t="s">
        <v>40</v>
      </c>
      <c r="B286" s="25" t="s">
        <v>21</v>
      </c>
      <c r="C286" s="23" t="s">
        <v>18</v>
      </c>
      <c r="D286" s="20">
        <v>408</v>
      </c>
      <c r="E286" s="21">
        <v>567</v>
      </c>
      <c r="F286" s="20">
        <v>155</v>
      </c>
      <c r="G286" s="20">
        <v>12</v>
      </c>
      <c r="H286" s="21">
        <v>250</v>
      </c>
      <c r="I286" s="13">
        <v>155</v>
      </c>
      <c r="J286" s="14">
        <f t="shared" si="17"/>
        <v>420</v>
      </c>
      <c r="K286" s="15">
        <f t="shared" si="18"/>
        <v>87885</v>
      </c>
      <c r="L286" s="41">
        <f t="shared" si="16"/>
        <v>0</v>
      </c>
      <c r="M286" s="15">
        <f t="shared" si="19"/>
        <v>87885</v>
      </c>
      <c r="U286" s="17"/>
      <c r="V286" s="22"/>
    </row>
    <row r="287" spans="1:22" x14ac:dyDescent="0.3">
      <c r="A287" s="8" t="s">
        <v>40</v>
      </c>
      <c r="B287" s="25" t="s">
        <v>22</v>
      </c>
      <c r="C287" s="10" t="s">
        <v>16</v>
      </c>
      <c r="D287" s="11">
        <v>114</v>
      </c>
      <c r="E287" s="12">
        <v>687</v>
      </c>
      <c r="F287" s="11">
        <v>42</v>
      </c>
      <c r="G287" s="11">
        <v>3</v>
      </c>
      <c r="H287" s="12">
        <v>350</v>
      </c>
      <c r="I287" s="13">
        <v>42</v>
      </c>
      <c r="J287" s="14">
        <f t="shared" si="17"/>
        <v>117</v>
      </c>
      <c r="K287" s="15">
        <f t="shared" si="18"/>
        <v>28854</v>
      </c>
      <c r="L287" s="41">
        <f t="shared" si="16"/>
        <v>0</v>
      </c>
      <c r="M287" s="15">
        <f t="shared" si="19"/>
        <v>28854</v>
      </c>
      <c r="U287" s="17"/>
      <c r="V287" s="22"/>
    </row>
    <row r="288" spans="1:22" x14ac:dyDescent="0.3">
      <c r="A288" s="18" t="s">
        <v>40</v>
      </c>
      <c r="B288" s="25" t="s">
        <v>22</v>
      </c>
      <c r="C288" s="19" t="s">
        <v>17</v>
      </c>
      <c r="D288" s="20">
        <v>114</v>
      </c>
      <c r="E288" s="21">
        <v>900</v>
      </c>
      <c r="F288" s="20">
        <v>27</v>
      </c>
      <c r="G288" s="20">
        <v>3</v>
      </c>
      <c r="H288" s="21">
        <v>350</v>
      </c>
      <c r="I288" s="13">
        <v>27</v>
      </c>
      <c r="J288" s="14">
        <f t="shared" si="17"/>
        <v>117</v>
      </c>
      <c r="K288" s="15">
        <f t="shared" si="18"/>
        <v>24300</v>
      </c>
      <c r="L288" s="41">
        <f t="shared" si="16"/>
        <v>0</v>
      </c>
      <c r="M288" s="15">
        <f t="shared" si="19"/>
        <v>24300</v>
      </c>
      <c r="U288" s="17"/>
      <c r="V288" s="22"/>
    </row>
    <row r="289" spans="1:22" x14ac:dyDescent="0.3">
      <c r="A289" s="8" t="s">
        <v>40</v>
      </c>
      <c r="B289" s="25" t="s">
        <v>22</v>
      </c>
      <c r="C289" s="23" t="s">
        <v>18</v>
      </c>
      <c r="D289" s="11">
        <v>114</v>
      </c>
      <c r="E289" s="12">
        <v>763</v>
      </c>
      <c r="F289" s="11">
        <v>40</v>
      </c>
      <c r="G289" s="11">
        <v>3</v>
      </c>
      <c r="H289" s="12">
        <v>350</v>
      </c>
      <c r="I289" s="13">
        <v>40</v>
      </c>
      <c r="J289" s="14">
        <f t="shared" si="17"/>
        <v>117</v>
      </c>
      <c r="K289" s="15">
        <f t="shared" si="18"/>
        <v>30520</v>
      </c>
      <c r="L289" s="41">
        <f t="shared" si="16"/>
        <v>0</v>
      </c>
      <c r="M289" s="15">
        <f t="shared" si="19"/>
        <v>30520</v>
      </c>
      <c r="U289" s="17"/>
      <c r="V289" s="22"/>
    </row>
    <row r="290" spans="1:22" x14ac:dyDescent="0.3">
      <c r="A290" s="18" t="s">
        <v>40</v>
      </c>
      <c r="B290" s="26" t="s">
        <v>23</v>
      </c>
      <c r="C290" s="10" t="s">
        <v>16</v>
      </c>
      <c r="D290" s="20">
        <v>82</v>
      </c>
      <c r="E290" s="21">
        <v>549</v>
      </c>
      <c r="F290" s="20">
        <v>28</v>
      </c>
      <c r="G290" s="20">
        <v>2</v>
      </c>
      <c r="H290" s="21">
        <v>220</v>
      </c>
      <c r="I290" s="13">
        <v>28</v>
      </c>
      <c r="J290" s="14">
        <f t="shared" si="17"/>
        <v>84</v>
      </c>
      <c r="K290" s="15">
        <f t="shared" si="18"/>
        <v>15372</v>
      </c>
      <c r="L290" s="41">
        <f t="shared" si="16"/>
        <v>0</v>
      </c>
      <c r="M290" s="15">
        <f t="shared" si="19"/>
        <v>15372</v>
      </c>
      <c r="U290" s="17"/>
      <c r="V290" s="22"/>
    </row>
    <row r="291" spans="1:22" x14ac:dyDescent="0.3">
      <c r="A291" s="8" t="s">
        <v>40</v>
      </c>
      <c r="B291" s="26" t="s">
        <v>23</v>
      </c>
      <c r="C291" s="19" t="s">
        <v>17</v>
      </c>
      <c r="D291" s="11">
        <v>82</v>
      </c>
      <c r="E291" s="12">
        <v>720</v>
      </c>
      <c r="F291" s="11">
        <v>18</v>
      </c>
      <c r="G291" s="11">
        <v>2</v>
      </c>
      <c r="H291" s="12">
        <v>220</v>
      </c>
      <c r="I291" s="13">
        <v>18</v>
      </c>
      <c r="J291" s="14">
        <f t="shared" si="17"/>
        <v>84</v>
      </c>
      <c r="K291" s="15">
        <f t="shared" si="18"/>
        <v>12960</v>
      </c>
      <c r="L291" s="41">
        <f t="shared" si="16"/>
        <v>0</v>
      </c>
      <c r="M291" s="15">
        <f t="shared" si="19"/>
        <v>12960</v>
      </c>
      <c r="U291" s="17"/>
      <c r="V291" s="22"/>
    </row>
    <row r="292" spans="1:22" x14ac:dyDescent="0.3">
      <c r="A292" s="18" t="s">
        <v>40</v>
      </c>
      <c r="B292" s="26" t="s">
        <v>23</v>
      </c>
      <c r="C292" s="23" t="s">
        <v>18</v>
      </c>
      <c r="D292" s="20">
        <v>82</v>
      </c>
      <c r="E292" s="21">
        <v>610</v>
      </c>
      <c r="F292" s="20">
        <v>27</v>
      </c>
      <c r="G292" s="20">
        <v>2</v>
      </c>
      <c r="H292" s="21">
        <v>220</v>
      </c>
      <c r="I292" s="13">
        <v>27</v>
      </c>
      <c r="J292" s="14">
        <f t="shared" si="17"/>
        <v>84</v>
      </c>
      <c r="K292" s="15">
        <f t="shared" si="18"/>
        <v>16470</v>
      </c>
      <c r="L292" s="41">
        <f t="shared" ref="L292:L323" si="20">(1-$Q$2)*(E292+H292)*I638</f>
        <v>0</v>
      </c>
      <c r="M292" s="15">
        <f t="shared" si="19"/>
        <v>16470</v>
      </c>
      <c r="U292" s="17"/>
      <c r="V292" s="22"/>
    </row>
    <row r="293" spans="1:22" x14ac:dyDescent="0.3">
      <c r="A293" s="8" t="s">
        <v>41</v>
      </c>
      <c r="B293" s="9" t="s">
        <v>15</v>
      </c>
      <c r="C293" s="10" t="s">
        <v>16</v>
      </c>
      <c r="D293" s="11">
        <v>360</v>
      </c>
      <c r="E293" s="12">
        <v>844</v>
      </c>
      <c r="F293" s="11">
        <v>144</v>
      </c>
      <c r="G293" s="11">
        <v>11</v>
      </c>
      <c r="H293" s="12">
        <v>500</v>
      </c>
      <c r="I293" s="13">
        <v>137</v>
      </c>
      <c r="J293" s="14">
        <f t="shared" si="17"/>
        <v>371</v>
      </c>
      <c r="K293" s="15">
        <f t="shared" si="18"/>
        <v>115628</v>
      </c>
      <c r="L293" s="41">
        <f t="shared" si="20"/>
        <v>0</v>
      </c>
      <c r="M293" s="15">
        <f t="shared" si="19"/>
        <v>115628</v>
      </c>
      <c r="U293" s="17"/>
      <c r="V293" s="22"/>
    </row>
    <row r="294" spans="1:22" x14ac:dyDescent="0.3">
      <c r="A294" s="18" t="s">
        <v>41</v>
      </c>
      <c r="B294" s="9" t="s">
        <v>15</v>
      </c>
      <c r="C294" s="19" t="s">
        <v>17</v>
      </c>
      <c r="D294" s="20">
        <v>360</v>
      </c>
      <c r="E294" s="21">
        <v>1107</v>
      </c>
      <c r="F294" s="20">
        <v>94</v>
      </c>
      <c r="G294" s="20">
        <v>11</v>
      </c>
      <c r="H294" s="21">
        <v>500</v>
      </c>
      <c r="I294" s="13">
        <v>94</v>
      </c>
      <c r="J294" s="14">
        <f t="shared" si="17"/>
        <v>371</v>
      </c>
      <c r="K294" s="15">
        <f t="shared" si="18"/>
        <v>104058</v>
      </c>
      <c r="L294" s="41">
        <f t="shared" si="20"/>
        <v>0</v>
      </c>
      <c r="M294" s="15">
        <f t="shared" si="19"/>
        <v>104058</v>
      </c>
      <c r="U294" s="17"/>
      <c r="V294" s="22"/>
    </row>
    <row r="295" spans="1:22" x14ac:dyDescent="0.3">
      <c r="A295" s="8" t="s">
        <v>41</v>
      </c>
      <c r="B295" s="9" t="s">
        <v>15</v>
      </c>
      <c r="C295" s="23" t="s">
        <v>18</v>
      </c>
      <c r="D295" s="11">
        <v>360</v>
      </c>
      <c r="E295" s="12">
        <v>938</v>
      </c>
      <c r="F295" s="11">
        <v>140</v>
      </c>
      <c r="G295" s="11">
        <v>11</v>
      </c>
      <c r="H295" s="12">
        <v>500</v>
      </c>
      <c r="I295" s="13">
        <v>140</v>
      </c>
      <c r="J295" s="14">
        <f t="shared" si="17"/>
        <v>371</v>
      </c>
      <c r="K295" s="15">
        <f t="shared" si="18"/>
        <v>131320</v>
      </c>
      <c r="L295" s="41">
        <f t="shared" si="20"/>
        <v>0</v>
      </c>
      <c r="M295" s="15">
        <f t="shared" si="19"/>
        <v>131320</v>
      </c>
      <c r="U295" s="17"/>
      <c r="V295" s="22"/>
    </row>
    <row r="296" spans="1:22" x14ac:dyDescent="0.3">
      <c r="A296" s="18" t="s">
        <v>41</v>
      </c>
      <c r="B296" s="9" t="s">
        <v>19</v>
      </c>
      <c r="C296" s="10" t="s">
        <v>16</v>
      </c>
      <c r="D296" s="20">
        <v>134</v>
      </c>
      <c r="E296" s="21">
        <v>1032</v>
      </c>
      <c r="F296" s="20">
        <v>52</v>
      </c>
      <c r="G296" s="20">
        <v>3</v>
      </c>
      <c r="H296" s="21">
        <v>700</v>
      </c>
      <c r="I296" s="13">
        <v>52</v>
      </c>
      <c r="J296" s="14">
        <f t="shared" si="17"/>
        <v>137</v>
      </c>
      <c r="K296" s="15">
        <f t="shared" si="18"/>
        <v>53664</v>
      </c>
      <c r="L296" s="41">
        <f t="shared" si="20"/>
        <v>0</v>
      </c>
      <c r="M296" s="15">
        <f t="shared" si="19"/>
        <v>53664</v>
      </c>
      <c r="U296" s="17"/>
      <c r="V296" s="22"/>
    </row>
    <row r="297" spans="1:22" x14ac:dyDescent="0.3">
      <c r="A297" s="8" t="s">
        <v>41</v>
      </c>
      <c r="B297" s="9" t="s">
        <v>19</v>
      </c>
      <c r="C297" s="19" t="s">
        <v>17</v>
      </c>
      <c r="D297" s="11">
        <v>134</v>
      </c>
      <c r="E297" s="12">
        <v>1353</v>
      </c>
      <c r="F297" s="11">
        <v>34</v>
      </c>
      <c r="G297" s="11">
        <v>3</v>
      </c>
      <c r="H297" s="12">
        <v>700</v>
      </c>
      <c r="I297" s="13">
        <v>34</v>
      </c>
      <c r="J297" s="14">
        <f t="shared" si="17"/>
        <v>137</v>
      </c>
      <c r="K297" s="15">
        <f t="shared" si="18"/>
        <v>46002</v>
      </c>
      <c r="L297" s="41">
        <f t="shared" si="20"/>
        <v>0</v>
      </c>
      <c r="M297" s="15">
        <f t="shared" si="19"/>
        <v>46002</v>
      </c>
      <c r="U297" s="17"/>
      <c r="V297" s="22"/>
    </row>
    <row r="298" spans="1:22" x14ac:dyDescent="0.3">
      <c r="A298" s="18" t="s">
        <v>41</v>
      </c>
      <c r="B298" s="9" t="s">
        <v>19</v>
      </c>
      <c r="C298" s="23" t="s">
        <v>18</v>
      </c>
      <c r="D298" s="20">
        <v>134</v>
      </c>
      <c r="E298" s="21">
        <v>1146</v>
      </c>
      <c r="F298" s="20">
        <v>51</v>
      </c>
      <c r="G298" s="20">
        <v>3</v>
      </c>
      <c r="H298" s="21">
        <v>700</v>
      </c>
      <c r="I298" s="13">
        <v>51</v>
      </c>
      <c r="J298" s="14">
        <f t="shared" si="17"/>
        <v>137</v>
      </c>
      <c r="K298" s="15">
        <f t="shared" si="18"/>
        <v>58446</v>
      </c>
      <c r="L298" s="41">
        <f t="shared" si="20"/>
        <v>0</v>
      </c>
      <c r="M298" s="15">
        <f t="shared" si="19"/>
        <v>58446</v>
      </c>
      <c r="U298" s="17"/>
      <c r="V298" s="22"/>
    </row>
    <row r="299" spans="1:22" x14ac:dyDescent="0.3">
      <c r="A299" s="8" t="s">
        <v>41</v>
      </c>
      <c r="B299" s="24" t="s">
        <v>20</v>
      </c>
      <c r="C299" s="10" t="s">
        <v>16</v>
      </c>
      <c r="D299" s="11">
        <v>18</v>
      </c>
      <c r="E299" s="12">
        <v>4877</v>
      </c>
      <c r="F299" s="11">
        <v>6</v>
      </c>
      <c r="G299" s="11">
        <v>0</v>
      </c>
      <c r="H299" s="12">
        <v>2500</v>
      </c>
      <c r="I299" s="13">
        <v>6</v>
      </c>
      <c r="J299" s="14">
        <f t="shared" si="17"/>
        <v>18</v>
      </c>
      <c r="K299" s="15">
        <f t="shared" si="18"/>
        <v>29262</v>
      </c>
      <c r="L299" s="41">
        <f t="shared" si="20"/>
        <v>0</v>
      </c>
      <c r="M299" s="15">
        <f t="shared" si="19"/>
        <v>29262</v>
      </c>
      <c r="U299" s="17"/>
      <c r="V299" s="22"/>
    </row>
    <row r="300" spans="1:22" x14ac:dyDescent="0.3">
      <c r="A300" s="18" t="s">
        <v>41</v>
      </c>
      <c r="B300" s="24" t="s">
        <v>20</v>
      </c>
      <c r="C300" s="19" t="s">
        <v>17</v>
      </c>
      <c r="D300" s="20">
        <v>18</v>
      </c>
      <c r="E300" s="21">
        <v>6394</v>
      </c>
      <c r="F300" s="20">
        <v>4</v>
      </c>
      <c r="G300" s="20">
        <v>0</v>
      </c>
      <c r="H300" s="21">
        <v>2500</v>
      </c>
      <c r="I300" s="13">
        <v>4</v>
      </c>
      <c r="J300" s="14">
        <f t="shared" si="17"/>
        <v>18</v>
      </c>
      <c r="K300" s="15">
        <f t="shared" si="18"/>
        <v>25576</v>
      </c>
      <c r="L300" s="41">
        <f t="shared" si="20"/>
        <v>0</v>
      </c>
      <c r="M300" s="15">
        <f t="shared" si="19"/>
        <v>25576</v>
      </c>
      <c r="U300" s="17"/>
      <c r="V300" s="22"/>
    </row>
    <row r="301" spans="1:22" x14ac:dyDescent="0.3">
      <c r="A301" s="8" t="s">
        <v>41</v>
      </c>
      <c r="B301" s="24" t="s">
        <v>20</v>
      </c>
      <c r="C301" s="23" t="s">
        <v>18</v>
      </c>
      <c r="D301" s="11">
        <v>18</v>
      </c>
      <c r="E301" s="12">
        <v>5418</v>
      </c>
      <c r="F301" s="11">
        <v>6</v>
      </c>
      <c r="G301" s="11">
        <v>0</v>
      </c>
      <c r="H301" s="12">
        <v>2500</v>
      </c>
      <c r="I301" s="13">
        <v>6</v>
      </c>
      <c r="J301" s="14">
        <f t="shared" si="17"/>
        <v>18</v>
      </c>
      <c r="K301" s="15">
        <f t="shared" si="18"/>
        <v>32508</v>
      </c>
      <c r="L301" s="41">
        <f t="shared" si="20"/>
        <v>0</v>
      </c>
      <c r="M301" s="15">
        <f t="shared" si="19"/>
        <v>32508</v>
      </c>
      <c r="U301" s="17"/>
      <c r="V301" s="22"/>
    </row>
    <row r="302" spans="1:22" x14ac:dyDescent="0.3">
      <c r="A302" s="18" t="s">
        <v>41</v>
      </c>
      <c r="B302" s="25" t="s">
        <v>21</v>
      </c>
      <c r="C302" s="10" t="s">
        <v>16</v>
      </c>
      <c r="D302" s="20">
        <v>412</v>
      </c>
      <c r="E302" s="21">
        <v>488</v>
      </c>
      <c r="F302" s="20">
        <v>161</v>
      </c>
      <c r="G302" s="20">
        <v>12</v>
      </c>
      <c r="H302" s="21">
        <v>250</v>
      </c>
      <c r="I302" s="13">
        <v>149</v>
      </c>
      <c r="J302" s="14">
        <f t="shared" si="17"/>
        <v>424</v>
      </c>
      <c r="K302" s="15">
        <f t="shared" si="18"/>
        <v>72712</v>
      </c>
      <c r="L302" s="41">
        <f t="shared" si="20"/>
        <v>0</v>
      </c>
      <c r="M302" s="15">
        <f t="shared" si="19"/>
        <v>72712</v>
      </c>
      <c r="U302" s="17"/>
      <c r="V302" s="22"/>
    </row>
    <row r="303" spans="1:22" x14ac:dyDescent="0.3">
      <c r="A303" s="8" t="s">
        <v>41</v>
      </c>
      <c r="B303" s="25" t="s">
        <v>21</v>
      </c>
      <c r="C303" s="19" t="s">
        <v>17</v>
      </c>
      <c r="D303" s="11">
        <v>412</v>
      </c>
      <c r="E303" s="12">
        <v>639</v>
      </c>
      <c r="F303" s="11">
        <v>106</v>
      </c>
      <c r="G303" s="11">
        <v>12</v>
      </c>
      <c r="H303" s="12">
        <v>250</v>
      </c>
      <c r="I303" s="13">
        <v>106</v>
      </c>
      <c r="J303" s="14">
        <f t="shared" si="17"/>
        <v>424</v>
      </c>
      <c r="K303" s="15">
        <f t="shared" si="18"/>
        <v>67734</v>
      </c>
      <c r="L303" s="41">
        <f t="shared" si="20"/>
        <v>0</v>
      </c>
      <c r="M303" s="15">
        <f t="shared" si="19"/>
        <v>67734</v>
      </c>
      <c r="U303" s="17"/>
      <c r="V303" s="22"/>
    </row>
    <row r="304" spans="1:22" x14ac:dyDescent="0.3">
      <c r="A304" s="18" t="s">
        <v>41</v>
      </c>
      <c r="B304" s="25" t="s">
        <v>21</v>
      </c>
      <c r="C304" s="23" t="s">
        <v>18</v>
      </c>
      <c r="D304" s="20">
        <v>412</v>
      </c>
      <c r="E304" s="21">
        <v>542</v>
      </c>
      <c r="F304" s="20">
        <v>157</v>
      </c>
      <c r="G304" s="20">
        <v>12</v>
      </c>
      <c r="H304" s="21">
        <v>250</v>
      </c>
      <c r="I304" s="13">
        <v>157</v>
      </c>
      <c r="J304" s="14">
        <f t="shared" si="17"/>
        <v>424</v>
      </c>
      <c r="K304" s="15">
        <f t="shared" si="18"/>
        <v>85094</v>
      </c>
      <c r="L304" s="41">
        <f t="shared" si="20"/>
        <v>0</v>
      </c>
      <c r="M304" s="15">
        <f t="shared" si="19"/>
        <v>85094</v>
      </c>
      <c r="U304" s="17"/>
      <c r="V304" s="22"/>
    </row>
    <row r="305" spans="1:22" x14ac:dyDescent="0.3">
      <c r="A305" s="8" t="s">
        <v>41</v>
      </c>
      <c r="B305" s="25" t="s">
        <v>22</v>
      </c>
      <c r="C305" s="10" t="s">
        <v>16</v>
      </c>
      <c r="D305" s="11">
        <v>243</v>
      </c>
      <c r="E305" s="12">
        <v>656</v>
      </c>
      <c r="F305" s="11">
        <v>89</v>
      </c>
      <c r="G305" s="11">
        <v>6</v>
      </c>
      <c r="H305" s="12">
        <v>350</v>
      </c>
      <c r="I305" s="13">
        <v>89</v>
      </c>
      <c r="J305" s="14">
        <f t="shared" si="17"/>
        <v>249</v>
      </c>
      <c r="K305" s="15">
        <f t="shared" si="18"/>
        <v>58384</v>
      </c>
      <c r="L305" s="41">
        <f t="shared" si="20"/>
        <v>0</v>
      </c>
      <c r="M305" s="15">
        <f t="shared" si="19"/>
        <v>58384</v>
      </c>
      <c r="U305" s="17"/>
      <c r="V305" s="22"/>
    </row>
    <row r="306" spans="1:22" x14ac:dyDescent="0.3">
      <c r="A306" s="18" t="s">
        <v>41</v>
      </c>
      <c r="B306" s="25" t="s">
        <v>22</v>
      </c>
      <c r="C306" s="19" t="s">
        <v>17</v>
      </c>
      <c r="D306" s="20">
        <v>243</v>
      </c>
      <c r="E306" s="21">
        <v>861</v>
      </c>
      <c r="F306" s="20">
        <v>58</v>
      </c>
      <c r="G306" s="20">
        <v>6</v>
      </c>
      <c r="H306" s="21">
        <v>350</v>
      </c>
      <c r="I306" s="13">
        <v>58</v>
      </c>
      <c r="J306" s="14">
        <f t="shared" si="17"/>
        <v>249</v>
      </c>
      <c r="K306" s="15">
        <f t="shared" si="18"/>
        <v>49938</v>
      </c>
      <c r="L306" s="41">
        <f t="shared" si="20"/>
        <v>0</v>
      </c>
      <c r="M306" s="15">
        <f t="shared" si="19"/>
        <v>49938</v>
      </c>
      <c r="U306" s="17"/>
      <c r="V306" s="22"/>
    </row>
    <row r="307" spans="1:22" x14ac:dyDescent="0.3">
      <c r="A307" s="8" t="s">
        <v>41</v>
      </c>
      <c r="B307" s="25" t="s">
        <v>22</v>
      </c>
      <c r="C307" s="23" t="s">
        <v>18</v>
      </c>
      <c r="D307" s="11">
        <v>243</v>
      </c>
      <c r="E307" s="12">
        <v>729</v>
      </c>
      <c r="F307" s="11">
        <v>86</v>
      </c>
      <c r="G307" s="11">
        <v>6</v>
      </c>
      <c r="H307" s="12">
        <v>350</v>
      </c>
      <c r="I307" s="13">
        <v>86</v>
      </c>
      <c r="J307" s="14">
        <f t="shared" si="17"/>
        <v>249</v>
      </c>
      <c r="K307" s="15">
        <f t="shared" si="18"/>
        <v>62694</v>
      </c>
      <c r="L307" s="41">
        <f t="shared" si="20"/>
        <v>0</v>
      </c>
      <c r="M307" s="15">
        <f t="shared" si="19"/>
        <v>62694</v>
      </c>
      <c r="U307" s="17"/>
      <c r="V307" s="22"/>
    </row>
    <row r="308" spans="1:22" x14ac:dyDescent="0.3">
      <c r="A308" s="18" t="s">
        <v>41</v>
      </c>
      <c r="B308" s="24" t="s">
        <v>25</v>
      </c>
      <c r="C308" s="10" t="s">
        <v>16</v>
      </c>
      <c r="D308" s="20">
        <v>30</v>
      </c>
      <c r="E308" s="21">
        <v>2626</v>
      </c>
      <c r="F308" s="20">
        <v>10</v>
      </c>
      <c r="G308" s="20">
        <v>0</v>
      </c>
      <c r="H308" s="21">
        <v>1300</v>
      </c>
      <c r="I308" s="13">
        <v>10</v>
      </c>
      <c r="J308" s="14">
        <f t="shared" si="17"/>
        <v>30</v>
      </c>
      <c r="K308" s="15">
        <f t="shared" si="18"/>
        <v>26260</v>
      </c>
      <c r="L308" s="41">
        <f t="shared" si="20"/>
        <v>0</v>
      </c>
      <c r="M308" s="15">
        <f t="shared" si="19"/>
        <v>26260</v>
      </c>
      <c r="U308" s="17"/>
      <c r="V308" s="22"/>
    </row>
    <row r="309" spans="1:22" x14ac:dyDescent="0.3">
      <c r="A309" s="8" t="s">
        <v>41</v>
      </c>
      <c r="B309" s="24" t="s">
        <v>25</v>
      </c>
      <c r="C309" s="19" t="s">
        <v>17</v>
      </c>
      <c r="D309" s="11">
        <v>30</v>
      </c>
      <c r="E309" s="12">
        <v>3443</v>
      </c>
      <c r="F309" s="11">
        <v>7</v>
      </c>
      <c r="G309" s="11">
        <v>0</v>
      </c>
      <c r="H309" s="12">
        <v>1300</v>
      </c>
      <c r="I309" s="13">
        <v>7</v>
      </c>
      <c r="J309" s="14">
        <f t="shared" si="17"/>
        <v>30</v>
      </c>
      <c r="K309" s="15">
        <f t="shared" si="18"/>
        <v>24101</v>
      </c>
      <c r="L309" s="41">
        <f t="shared" si="20"/>
        <v>0</v>
      </c>
      <c r="M309" s="15">
        <f t="shared" si="19"/>
        <v>24101</v>
      </c>
      <c r="U309" s="17"/>
      <c r="V309" s="22"/>
    </row>
    <row r="310" spans="1:22" x14ac:dyDescent="0.3">
      <c r="A310" s="18" t="s">
        <v>41</v>
      </c>
      <c r="B310" s="24" t="s">
        <v>25</v>
      </c>
      <c r="C310" s="23" t="s">
        <v>18</v>
      </c>
      <c r="D310" s="20">
        <v>30</v>
      </c>
      <c r="E310" s="21">
        <v>2918</v>
      </c>
      <c r="F310" s="20">
        <v>10</v>
      </c>
      <c r="G310" s="20">
        <v>0</v>
      </c>
      <c r="H310" s="21">
        <v>1300</v>
      </c>
      <c r="I310" s="13">
        <v>10</v>
      </c>
      <c r="J310" s="14">
        <f t="shared" si="17"/>
        <v>30</v>
      </c>
      <c r="K310" s="15">
        <f t="shared" si="18"/>
        <v>29180</v>
      </c>
      <c r="L310" s="41">
        <f t="shared" si="20"/>
        <v>0</v>
      </c>
      <c r="M310" s="15">
        <f t="shared" si="19"/>
        <v>29180</v>
      </c>
      <c r="U310" s="17"/>
      <c r="V310" s="22"/>
    </row>
    <row r="311" spans="1:22" x14ac:dyDescent="0.3">
      <c r="A311" s="8" t="s">
        <v>42</v>
      </c>
      <c r="B311" s="9" t="s">
        <v>15</v>
      </c>
      <c r="C311" s="10" t="s">
        <v>16</v>
      </c>
      <c r="D311" s="11">
        <v>998</v>
      </c>
      <c r="E311" s="12">
        <v>878</v>
      </c>
      <c r="F311" s="11">
        <v>398</v>
      </c>
      <c r="G311" s="11">
        <v>30</v>
      </c>
      <c r="H311" s="12">
        <v>500</v>
      </c>
      <c r="I311" s="13">
        <v>348</v>
      </c>
      <c r="J311" s="14">
        <f t="shared" si="17"/>
        <v>1028</v>
      </c>
      <c r="K311" s="15">
        <f t="shared" si="18"/>
        <v>305544</v>
      </c>
      <c r="L311" s="41">
        <f t="shared" si="20"/>
        <v>0</v>
      </c>
      <c r="M311" s="15">
        <f t="shared" si="19"/>
        <v>305544</v>
      </c>
      <c r="U311" s="17"/>
      <c r="V311" s="22"/>
    </row>
    <row r="312" spans="1:22" x14ac:dyDescent="0.3">
      <c r="A312" s="18" t="s">
        <v>42</v>
      </c>
      <c r="B312" s="9" t="s">
        <v>15</v>
      </c>
      <c r="C312" s="19" t="s">
        <v>17</v>
      </c>
      <c r="D312" s="20">
        <v>998</v>
      </c>
      <c r="E312" s="21">
        <v>1151</v>
      </c>
      <c r="F312" s="20">
        <v>262</v>
      </c>
      <c r="G312" s="20">
        <v>30</v>
      </c>
      <c r="H312" s="21">
        <v>500</v>
      </c>
      <c r="I312" s="13">
        <v>262</v>
      </c>
      <c r="J312" s="14">
        <f t="shared" si="17"/>
        <v>1028</v>
      </c>
      <c r="K312" s="15">
        <f t="shared" si="18"/>
        <v>301562</v>
      </c>
      <c r="L312" s="41">
        <f t="shared" si="20"/>
        <v>0</v>
      </c>
      <c r="M312" s="15">
        <f t="shared" si="19"/>
        <v>301562</v>
      </c>
      <c r="U312" s="17"/>
      <c r="V312" s="22"/>
    </row>
    <row r="313" spans="1:22" x14ac:dyDescent="0.3">
      <c r="A313" s="8" t="s">
        <v>42</v>
      </c>
      <c r="B313" s="9" t="s">
        <v>15</v>
      </c>
      <c r="C313" s="23" t="s">
        <v>18</v>
      </c>
      <c r="D313" s="11">
        <v>998</v>
      </c>
      <c r="E313" s="12">
        <v>976</v>
      </c>
      <c r="F313" s="11">
        <v>388</v>
      </c>
      <c r="G313" s="11">
        <v>30</v>
      </c>
      <c r="H313" s="12">
        <v>500</v>
      </c>
      <c r="I313" s="13">
        <v>388</v>
      </c>
      <c r="J313" s="14">
        <f t="shared" si="17"/>
        <v>1028</v>
      </c>
      <c r="K313" s="15">
        <f t="shared" si="18"/>
        <v>378688</v>
      </c>
      <c r="L313" s="41">
        <f t="shared" si="20"/>
        <v>0</v>
      </c>
      <c r="M313" s="15">
        <f t="shared" si="19"/>
        <v>378688</v>
      </c>
      <c r="U313" s="17"/>
      <c r="V313" s="22"/>
    </row>
    <row r="314" spans="1:22" x14ac:dyDescent="0.3">
      <c r="A314" s="18" t="s">
        <v>42</v>
      </c>
      <c r="B314" s="9" t="s">
        <v>19</v>
      </c>
      <c r="C314" s="10" t="s">
        <v>16</v>
      </c>
      <c r="D314" s="20">
        <v>266</v>
      </c>
      <c r="E314" s="21">
        <v>1073</v>
      </c>
      <c r="F314" s="20">
        <v>103</v>
      </c>
      <c r="G314" s="20">
        <v>7</v>
      </c>
      <c r="H314" s="21">
        <v>700</v>
      </c>
      <c r="I314" s="13">
        <v>98</v>
      </c>
      <c r="J314" s="14">
        <f t="shared" si="17"/>
        <v>273</v>
      </c>
      <c r="K314" s="15">
        <f t="shared" si="18"/>
        <v>105154</v>
      </c>
      <c r="L314" s="41">
        <f t="shared" si="20"/>
        <v>0</v>
      </c>
      <c r="M314" s="15">
        <f t="shared" si="19"/>
        <v>105154</v>
      </c>
      <c r="U314" s="17"/>
      <c r="V314" s="22"/>
    </row>
    <row r="315" spans="1:22" x14ac:dyDescent="0.3">
      <c r="A315" s="8" t="s">
        <v>42</v>
      </c>
      <c r="B315" s="9" t="s">
        <v>19</v>
      </c>
      <c r="C315" s="19" t="s">
        <v>17</v>
      </c>
      <c r="D315" s="11">
        <v>266</v>
      </c>
      <c r="E315" s="12">
        <v>1407</v>
      </c>
      <c r="F315" s="11">
        <v>68</v>
      </c>
      <c r="G315" s="11">
        <v>7</v>
      </c>
      <c r="H315" s="12">
        <v>700</v>
      </c>
      <c r="I315" s="13">
        <v>68</v>
      </c>
      <c r="J315" s="14">
        <f t="shared" si="17"/>
        <v>273</v>
      </c>
      <c r="K315" s="15">
        <f t="shared" si="18"/>
        <v>95676</v>
      </c>
      <c r="L315" s="41">
        <f t="shared" si="20"/>
        <v>0</v>
      </c>
      <c r="M315" s="15">
        <f t="shared" si="19"/>
        <v>95676</v>
      </c>
      <c r="U315" s="17"/>
      <c r="V315" s="22"/>
    </row>
    <row r="316" spans="1:22" x14ac:dyDescent="0.3">
      <c r="A316" s="18" t="s">
        <v>42</v>
      </c>
      <c r="B316" s="9" t="s">
        <v>19</v>
      </c>
      <c r="C316" s="23" t="s">
        <v>18</v>
      </c>
      <c r="D316" s="20">
        <v>266</v>
      </c>
      <c r="E316" s="21">
        <v>1192</v>
      </c>
      <c r="F316" s="20">
        <v>100</v>
      </c>
      <c r="G316" s="20">
        <v>7</v>
      </c>
      <c r="H316" s="21">
        <v>700</v>
      </c>
      <c r="I316" s="13">
        <v>100</v>
      </c>
      <c r="J316" s="14">
        <f t="shared" si="17"/>
        <v>273</v>
      </c>
      <c r="K316" s="15">
        <f t="shared" si="18"/>
        <v>119200</v>
      </c>
      <c r="L316" s="41">
        <f t="shared" si="20"/>
        <v>0</v>
      </c>
      <c r="M316" s="15">
        <f t="shared" si="19"/>
        <v>119200</v>
      </c>
      <c r="U316" s="17"/>
      <c r="V316" s="22"/>
    </row>
    <row r="317" spans="1:22" x14ac:dyDescent="0.3">
      <c r="A317" s="8" t="s">
        <v>42</v>
      </c>
      <c r="B317" s="24" t="s">
        <v>20</v>
      </c>
      <c r="C317" s="10" t="s">
        <v>16</v>
      </c>
      <c r="D317" s="11">
        <v>80</v>
      </c>
      <c r="E317" s="12">
        <v>5073</v>
      </c>
      <c r="F317" s="11">
        <v>27</v>
      </c>
      <c r="G317" s="11">
        <v>1</v>
      </c>
      <c r="H317" s="12">
        <v>2500</v>
      </c>
      <c r="I317" s="13">
        <v>27</v>
      </c>
      <c r="J317" s="14">
        <f t="shared" si="17"/>
        <v>81</v>
      </c>
      <c r="K317" s="15">
        <f t="shared" si="18"/>
        <v>136971</v>
      </c>
      <c r="L317" s="41">
        <f t="shared" si="20"/>
        <v>0</v>
      </c>
      <c r="M317" s="15">
        <f t="shared" si="19"/>
        <v>136971</v>
      </c>
      <c r="U317" s="17"/>
      <c r="V317" s="22"/>
    </row>
    <row r="318" spans="1:22" x14ac:dyDescent="0.3">
      <c r="A318" s="18" t="s">
        <v>42</v>
      </c>
      <c r="B318" s="24" t="s">
        <v>20</v>
      </c>
      <c r="C318" s="19" t="s">
        <v>17</v>
      </c>
      <c r="D318" s="20">
        <v>80</v>
      </c>
      <c r="E318" s="21">
        <v>6651</v>
      </c>
      <c r="F318" s="20">
        <v>18</v>
      </c>
      <c r="G318" s="20">
        <v>1</v>
      </c>
      <c r="H318" s="21">
        <v>2500</v>
      </c>
      <c r="I318" s="13">
        <v>18</v>
      </c>
      <c r="J318" s="14">
        <f t="shared" si="17"/>
        <v>81</v>
      </c>
      <c r="K318" s="15">
        <f t="shared" si="18"/>
        <v>119718</v>
      </c>
      <c r="L318" s="41">
        <f t="shared" si="20"/>
        <v>0</v>
      </c>
      <c r="M318" s="15">
        <f t="shared" si="19"/>
        <v>119718</v>
      </c>
      <c r="U318" s="17"/>
      <c r="V318" s="22"/>
    </row>
    <row r="319" spans="1:22" x14ac:dyDescent="0.3">
      <c r="A319" s="8" t="s">
        <v>42</v>
      </c>
      <c r="B319" s="24" t="s">
        <v>20</v>
      </c>
      <c r="C319" s="23" t="s">
        <v>18</v>
      </c>
      <c r="D319" s="11">
        <v>80</v>
      </c>
      <c r="E319" s="12">
        <v>5637</v>
      </c>
      <c r="F319" s="11">
        <v>26</v>
      </c>
      <c r="G319" s="11">
        <v>1</v>
      </c>
      <c r="H319" s="12">
        <v>2500</v>
      </c>
      <c r="I319" s="13">
        <v>26</v>
      </c>
      <c r="J319" s="14">
        <f t="shared" si="17"/>
        <v>81</v>
      </c>
      <c r="K319" s="15">
        <f t="shared" si="18"/>
        <v>146562</v>
      </c>
      <c r="L319" s="41">
        <f t="shared" si="20"/>
        <v>0</v>
      </c>
      <c r="M319" s="15">
        <f t="shared" si="19"/>
        <v>146562</v>
      </c>
      <c r="U319" s="17"/>
      <c r="V319" s="22"/>
    </row>
    <row r="320" spans="1:22" x14ac:dyDescent="0.3">
      <c r="A320" s="18" t="s">
        <v>42</v>
      </c>
      <c r="B320" s="25" t="s">
        <v>21</v>
      </c>
      <c r="C320" s="10" t="s">
        <v>16</v>
      </c>
      <c r="D320" s="20">
        <v>446</v>
      </c>
      <c r="E320" s="21">
        <v>507</v>
      </c>
      <c r="F320" s="20">
        <v>175</v>
      </c>
      <c r="G320" s="20">
        <v>13</v>
      </c>
      <c r="H320" s="21">
        <v>250</v>
      </c>
      <c r="I320" s="13">
        <v>161</v>
      </c>
      <c r="J320" s="14">
        <f t="shared" si="17"/>
        <v>459</v>
      </c>
      <c r="K320" s="15">
        <f t="shared" si="18"/>
        <v>81627</v>
      </c>
      <c r="L320" s="41">
        <f t="shared" si="20"/>
        <v>0</v>
      </c>
      <c r="M320" s="15">
        <f t="shared" si="19"/>
        <v>81627</v>
      </c>
      <c r="U320" s="17"/>
      <c r="V320" s="22"/>
    </row>
    <row r="321" spans="1:22" x14ac:dyDescent="0.3">
      <c r="A321" s="8" t="s">
        <v>42</v>
      </c>
      <c r="B321" s="25" t="s">
        <v>21</v>
      </c>
      <c r="C321" s="19" t="s">
        <v>17</v>
      </c>
      <c r="D321" s="11">
        <v>446</v>
      </c>
      <c r="E321" s="12">
        <v>665</v>
      </c>
      <c r="F321" s="11">
        <v>115</v>
      </c>
      <c r="G321" s="11">
        <v>13</v>
      </c>
      <c r="H321" s="12">
        <v>250</v>
      </c>
      <c r="I321" s="13">
        <v>115</v>
      </c>
      <c r="J321" s="14">
        <f t="shared" si="17"/>
        <v>459</v>
      </c>
      <c r="K321" s="15">
        <f t="shared" si="18"/>
        <v>76475</v>
      </c>
      <c r="L321" s="41">
        <f t="shared" si="20"/>
        <v>0</v>
      </c>
      <c r="M321" s="15">
        <f t="shared" si="19"/>
        <v>76475</v>
      </c>
      <c r="U321" s="17"/>
      <c r="V321" s="22"/>
    </row>
    <row r="322" spans="1:22" x14ac:dyDescent="0.3">
      <c r="A322" s="18" t="s">
        <v>42</v>
      </c>
      <c r="B322" s="25" t="s">
        <v>21</v>
      </c>
      <c r="C322" s="23" t="s">
        <v>18</v>
      </c>
      <c r="D322" s="20">
        <v>446</v>
      </c>
      <c r="E322" s="21">
        <v>564</v>
      </c>
      <c r="F322" s="20">
        <v>170</v>
      </c>
      <c r="G322" s="20">
        <v>13</v>
      </c>
      <c r="H322" s="21">
        <v>250</v>
      </c>
      <c r="I322" s="13">
        <v>170</v>
      </c>
      <c r="J322" s="14">
        <f t="shared" si="17"/>
        <v>459</v>
      </c>
      <c r="K322" s="15">
        <f t="shared" si="18"/>
        <v>95880</v>
      </c>
      <c r="L322" s="41">
        <f t="shared" si="20"/>
        <v>0</v>
      </c>
      <c r="M322" s="15">
        <f t="shared" si="19"/>
        <v>95880</v>
      </c>
      <c r="U322" s="17"/>
      <c r="V322" s="22"/>
    </row>
    <row r="323" spans="1:22" x14ac:dyDescent="0.3">
      <c r="A323" s="8" t="s">
        <v>42</v>
      </c>
      <c r="B323" s="25" t="s">
        <v>22</v>
      </c>
      <c r="C323" s="10" t="s">
        <v>16</v>
      </c>
      <c r="D323" s="11">
        <v>162</v>
      </c>
      <c r="E323" s="12">
        <v>683</v>
      </c>
      <c r="F323" s="11">
        <v>59</v>
      </c>
      <c r="G323" s="11">
        <v>4</v>
      </c>
      <c r="H323" s="12">
        <v>350</v>
      </c>
      <c r="I323" s="13">
        <v>59</v>
      </c>
      <c r="J323" s="14">
        <f t="shared" si="17"/>
        <v>166</v>
      </c>
      <c r="K323" s="15">
        <f t="shared" si="18"/>
        <v>40297</v>
      </c>
      <c r="L323" s="41">
        <f t="shared" si="20"/>
        <v>0</v>
      </c>
      <c r="M323" s="15">
        <f t="shared" si="19"/>
        <v>40297</v>
      </c>
      <c r="U323" s="17"/>
      <c r="V323" s="22"/>
    </row>
    <row r="324" spans="1:22" x14ac:dyDescent="0.3">
      <c r="A324" s="18" t="s">
        <v>42</v>
      </c>
      <c r="B324" s="25" t="s">
        <v>22</v>
      </c>
      <c r="C324" s="19" t="s">
        <v>17</v>
      </c>
      <c r="D324" s="20">
        <v>162</v>
      </c>
      <c r="E324" s="21">
        <v>895</v>
      </c>
      <c r="F324" s="20">
        <v>39</v>
      </c>
      <c r="G324" s="20">
        <v>4</v>
      </c>
      <c r="H324" s="21">
        <v>350</v>
      </c>
      <c r="I324" s="13">
        <v>39</v>
      </c>
      <c r="J324" s="14">
        <f t="shared" si="17"/>
        <v>166</v>
      </c>
      <c r="K324" s="15">
        <f t="shared" si="18"/>
        <v>34905</v>
      </c>
      <c r="L324" s="41">
        <f t="shared" ref="L324:L355" si="21">(1-$Q$2)*(E324+H324)*I670</f>
        <v>0</v>
      </c>
      <c r="M324" s="15">
        <f t="shared" si="19"/>
        <v>34905</v>
      </c>
      <c r="U324" s="17"/>
      <c r="V324" s="22"/>
    </row>
    <row r="325" spans="1:22" x14ac:dyDescent="0.3">
      <c r="A325" s="8" t="s">
        <v>42</v>
      </c>
      <c r="B325" s="25" t="s">
        <v>22</v>
      </c>
      <c r="C325" s="23" t="s">
        <v>18</v>
      </c>
      <c r="D325" s="11">
        <v>162</v>
      </c>
      <c r="E325" s="12">
        <v>759</v>
      </c>
      <c r="F325" s="11">
        <v>58</v>
      </c>
      <c r="G325" s="11">
        <v>4</v>
      </c>
      <c r="H325" s="12">
        <v>350</v>
      </c>
      <c r="I325" s="13">
        <v>58</v>
      </c>
      <c r="J325" s="14">
        <f t="shared" ref="J325:J346" si="22">D325+G325</f>
        <v>166</v>
      </c>
      <c r="K325" s="15">
        <f t="shared" ref="K325:K346" si="23">I325*E325</f>
        <v>44022</v>
      </c>
      <c r="L325" s="41">
        <f t="shared" si="21"/>
        <v>0</v>
      </c>
      <c r="M325" s="15">
        <f t="shared" ref="M325:M388" si="24">K325-L325</f>
        <v>44022</v>
      </c>
      <c r="U325" s="17"/>
      <c r="V325" s="22"/>
    </row>
    <row r="326" spans="1:22" x14ac:dyDescent="0.3">
      <c r="A326" s="18" t="s">
        <v>42</v>
      </c>
      <c r="B326" s="26" t="s">
        <v>23</v>
      </c>
      <c r="C326" s="10" t="s">
        <v>16</v>
      </c>
      <c r="D326" s="20">
        <v>59</v>
      </c>
      <c r="E326" s="21">
        <v>546</v>
      </c>
      <c r="F326" s="20">
        <v>20</v>
      </c>
      <c r="G326" s="20">
        <v>1</v>
      </c>
      <c r="H326" s="21">
        <v>220</v>
      </c>
      <c r="I326" s="13">
        <v>20</v>
      </c>
      <c r="J326" s="14">
        <f t="shared" si="22"/>
        <v>60</v>
      </c>
      <c r="K326" s="15">
        <f t="shared" si="23"/>
        <v>10920</v>
      </c>
      <c r="L326" s="41">
        <f t="shared" si="21"/>
        <v>0</v>
      </c>
      <c r="M326" s="15">
        <f t="shared" si="24"/>
        <v>10920</v>
      </c>
      <c r="U326" s="17"/>
      <c r="V326" s="22"/>
    </row>
    <row r="327" spans="1:22" x14ac:dyDescent="0.3">
      <c r="A327" s="8" t="s">
        <v>42</v>
      </c>
      <c r="B327" s="26" t="s">
        <v>23</v>
      </c>
      <c r="C327" s="19" t="s">
        <v>17</v>
      </c>
      <c r="D327" s="11">
        <v>59</v>
      </c>
      <c r="E327" s="12">
        <v>716</v>
      </c>
      <c r="F327" s="11">
        <v>13</v>
      </c>
      <c r="G327" s="11">
        <v>1</v>
      </c>
      <c r="H327" s="12">
        <v>220</v>
      </c>
      <c r="I327" s="13">
        <v>13</v>
      </c>
      <c r="J327" s="14">
        <f t="shared" si="22"/>
        <v>60</v>
      </c>
      <c r="K327" s="15">
        <f t="shared" si="23"/>
        <v>9308</v>
      </c>
      <c r="L327" s="41">
        <f t="shared" si="21"/>
        <v>0</v>
      </c>
      <c r="M327" s="15">
        <f t="shared" si="24"/>
        <v>9308</v>
      </c>
      <c r="U327" s="17"/>
      <c r="V327" s="22"/>
    </row>
    <row r="328" spans="1:22" x14ac:dyDescent="0.3">
      <c r="A328" s="18" t="s">
        <v>42</v>
      </c>
      <c r="B328" s="26" t="s">
        <v>23</v>
      </c>
      <c r="C328" s="23" t="s">
        <v>18</v>
      </c>
      <c r="D328" s="20">
        <v>59</v>
      </c>
      <c r="E328" s="21">
        <v>607</v>
      </c>
      <c r="F328" s="20">
        <v>20</v>
      </c>
      <c r="G328" s="20">
        <v>1</v>
      </c>
      <c r="H328" s="21">
        <v>220</v>
      </c>
      <c r="I328" s="13">
        <v>20</v>
      </c>
      <c r="J328" s="14">
        <f t="shared" si="22"/>
        <v>60</v>
      </c>
      <c r="K328" s="15">
        <f t="shared" si="23"/>
        <v>12140</v>
      </c>
      <c r="L328" s="41">
        <f t="shared" si="21"/>
        <v>0</v>
      </c>
      <c r="M328" s="15">
        <f t="shared" si="24"/>
        <v>12140</v>
      </c>
      <c r="U328" s="17"/>
      <c r="V328" s="22"/>
    </row>
    <row r="329" spans="1:22" x14ac:dyDescent="0.3">
      <c r="A329" s="8" t="s">
        <v>43</v>
      </c>
      <c r="B329" s="9" t="s">
        <v>15</v>
      </c>
      <c r="C329" s="10" t="s">
        <v>16</v>
      </c>
      <c r="D329" s="11">
        <v>360</v>
      </c>
      <c r="E329" s="12">
        <v>839</v>
      </c>
      <c r="F329" s="11">
        <v>144</v>
      </c>
      <c r="G329" s="11">
        <v>11</v>
      </c>
      <c r="H329" s="12">
        <v>500</v>
      </c>
      <c r="I329" s="13">
        <v>137</v>
      </c>
      <c r="J329" s="14">
        <f t="shared" si="22"/>
        <v>371</v>
      </c>
      <c r="K329" s="15">
        <f t="shared" si="23"/>
        <v>114943</v>
      </c>
      <c r="L329" s="41">
        <f t="shared" si="21"/>
        <v>0</v>
      </c>
      <c r="M329" s="15">
        <f t="shared" si="24"/>
        <v>114943</v>
      </c>
      <c r="U329" s="17"/>
      <c r="V329" s="22"/>
    </row>
    <row r="330" spans="1:22" x14ac:dyDescent="0.3">
      <c r="A330" s="18" t="s">
        <v>43</v>
      </c>
      <c r="B330" s="9" t="s">
        <v>15</v>
      </c>
      <c r="C330" s="19" t="s">
        <v>17</v>
      </c>
      <c r="D330" s="20">
        <v>360</v>
      </c>
      <c r="E330" s="21">
        <v>1100</v>
      </c>
      <c r="F330" s="20">
        <v>94</v>
      </c>
      <c r="G330" s="20">
        <v>11</v>
      </c>
      <c r="H330" s="21">
        <v>500</v>
      </c>
      <c r="I330" s="13">
        <v>94</v>
      </c>
      <c r="J330" s="14">
        <f t="shared" si="22"/>
        <v>371</v>
      </c>
      <c r="K330" s="15">
        <f t="shared" si="23"/>
        <v>103400</v>
      </c>
      <c r="L330" s="41">
        <f t="shared" si="21"/>
        <v>0</v>
      </c>
      <c r="M330" s="15">
        <f t="shared" si="24"/>
        <v>103400</v>
      </c>
      <c r="U330" s="17"/>
      <c r="V330" s="22"/>
    </row>
    <row r="331" spans="1:22" x14ac:dyDescent="0.3">
      <c r="A331" s="8" t="s">
        <v>43</v>
      </c>
      <c r="B331" s="9" t="s">
        <v>15</v>
      </c>
      <c r="C331" s="23" t="s">
        <v>18</v>
      </c>
      <c r="D331" s="11">
        <v>360</v>
      </c>
      <c r="E331" s="12">
        <v>932</v>
      </c>
      <c r="F331" s="11">
        <v>140</v>
      </c>
      <c r="G331" s="11">
        <v>11</v>
      </c>
      <c r="H331" s="12">
        <v>500</v>
      </c>
      <c r="I331" s="13">
        <v>140</v>
      </c>
      <c r="J331" s="14">
        <f t="shared" si="22"/>
        <v>371</v>
      </c>
      <c r="K331" s="15">
        <f t="shared" si="23"/>
        <v>130480</v>
      </c>
      <c r="L331" s="41">
        <f t="shared" si="21"/>
        <v>0</v>
      </c>
      <c r="M331" s="15">
        <f t="shared" si="24"/>
        <v>130480</v>
      </c>
      <c r="U331" s="17"/>
      <c r="V331" s="22"/>
    </row>
    <row r="332" spans="1:22" x14ac:dyDescent="0.3">
      <c r="A332" s="18" t="s">
        <v>43</v>
      </c>
      <c r="B332" s="9" t="s">
        <v>19</v>
      </c>
      <c r="C332" s="10" t="s">
        <v>16</v>
      </c>
      <c r="D332" s="20">
        <v>134</v>
      </c>
      <c r="E332" s="21">
        <v>1026</v>
      </c>
      <c r="F332" s="20">
        <v>52</v>
      </c>
      <c r="G332" s="20">
        <v>3</v>
      </c>
      <c r="H332" s="21">
        <v>700</v>
      </c>
      <c r="I332" s="13">
        <v>52</v>
      </c>
      <c r="J332" s="14">
        <f t="shared" si="22"/>
        <v>137</v>
      </c>
      <c r="K332" s="15">
        <f t="shared" si="23"/>
        <v>53352</v>
      </c>
      <c r="L332" s="41">
        <f t="shared" si="21"/>
        <v>0</v>
      </c>
      <c r="M332" s="15">
        <f t="shared" si="24"/>
        <v>53352</v>
      </c>
      <c r="U332" s="17"/>
      <c r="V332" s="22"/>
    </row>
    <row r="333" spans="1:22" x14ac:dyDescent="0.3">
      <c r="A333" s="8" t="s">
        <v>43</v>
      </c>
      <c r="B333" s="9" t="s">
        <v>19</v>
      </c>
      <c r="C333" s="19" t="s">
        <v>17</v>
      </c>
      <c r="D333" s="11">
        <v>134</v>
      </c>
      <c r="E333" s="12">
        <v>1345</v>
      </c>
      <c r="F333" s="11">
        <v>34</v>
      </c>
      <c r="G333" s="11">
        <v>3</v>
      </c>
      <c r="H333" s="12">
        <v>700</v>
      </c>
      <c r="I333" s="13">
        <v>34</v>
      </c>
      <c r="J333" s="14">
        <f t="shared" si="22"/>
        <v>137</v>
      </c>
      <c r="K333" s="15">
        <f t="shared" si="23"/>
        <v>45730</v>
      </c>
      <c r="L333" s="41">
        <f t="shared" si="21"/>
        <v>0</v>
      </c>
      <c r="M333" s="15">
        <f t="shared" si="24"/>
        <v>45730</v>
      </c>
      <c r="U333" s="17"/>
      <c r="V333" s="22"/>
    </row>
    <row r="334" spans="1:22" x14ac:dyDescent="0.3">
      <c r="A334" s="18" t="s">
        <v>43</v>
      </c>
      <c r="B334" s="9" t="s">
        <v>19</v>
      </c>
      <c r="C334" s="23" t="s">
        <v>18</v>
      </c>
      <c r="D334" s="20">
        <v>134</v>
      </c>
      <c r="E334" s="21">
        <v>1140</v>
      </c>
      <c r="F334" s="20">
        <v>51</v>
      </c>
      <c r="G334" s="20">
        <v>3</v>
      </c>
      <c r="H334" s="21">
        <v>700</v>
      </c>
      <c r="I334" s="13">
        <v>51</v>
      </c>
      <c r="J334" s="14">
        <f t="shared" si="22"/>
        <v>137</v>
      </c>
      <c r="K334" s="15">
        <f t="shared" si="23"/>
        <v>58140</v>
      </c>
      <c r="L334" s="41">
        <f t="shared" si="21"/>
        <v>0</v>
      </c>
      <c r="M334" s="15">
        <f t="shared" si="24"/>
        <v>58140</v>
      </c>
      <c r="U334" s="17"/>
      <c r="V334" s="22"/>
    </row>
    <row r="335" spans="1:22" x14ac:dyDescent="0.3">
      <c r="A335" s="8" t="s">
        <v>43</v>
      </c>
      <c r="B335" s="24" t="s">
        <v>20</v>
      </c>
      <c r="C335" s="10" t="s">
        <v>16</v>
      </c>
      <c r="D335" s="11">
        <v>17</v>
      </c>
      <c r="E335" s="12">
        <v>4848</v>
      </c>
      <c r="F335" s="11">
        <v>6</v>
      </c>
      <c r="G335" s="11">
        <v>0</v>
      </c>
      <c r="H335" s="12">
        <v>2500</v>
      </c>
      <c r="I335" s="13">
        <v>6</v>
      </c>
      <c r="J335" s="14">
        <f t="shared" si="22"/>
        <v>17</v>
      </c>
      <c r="K335" s="15">
        <f t="shared" si="23"/>
        <v>29088</v>
      </c>
      <c r="L335" s="41">
        <f t="shared" si="21"/>
        <v>0</v>
      </c>
      <c r="M335" s="15">
        <f t="shared" si="24"/>
        <v>29088</v>
      </c>
      <c r="U335" s="17"/>
      <c r="V335" s="22"/>
    </row>
    <row r="336" spans="1:22" x14ac:dyDescent="0.3">
      <c r="A336" s="18" t="s">
        <v>43</v>
      </c>
      <c r="B336" s="24" t="s">
        <v>20</v>
      </c>
      <c r="C336" s="19" t="s">
        <v>17</v>
      </c>
      <c r="D336" s="20">
        <v>17</v>
      </c>
      <c r="E336" s="21">
        <v>6357</v>
      </c>
      <c r="F336" s="20">
        <v>4</v>
      </c>
      <c r="G336" s="20">
        <v>0</v>
      </c>
      <c r="H336" s="21">
        <v>2500</v>
      </c>
      <c r="I336" s="13">
        <v>4</v>
      </c>
      <c r="J336" s="14">
        <f t="shared" si="22"/>
        <v>17</v>
      </c>
      <c r="K336" s="15">
        <f t="shared" si="23"/>
        <v>25428</v>
      </c>
      <c r="L336" s="41">
        <f t="shared" si="21"/>
        <v>0</v>
      </c>
      <c r="M336" s="15">
        <f t="shared" si="24"/>
        <v>25428</v>
      </c>
      <c r="U336" s="17"/>
      <c r="V336" s="22"/>
    </row>
    <row r="337" spans="1:22" x14ac:dyDescent="0.3">
      <c r="A337" s="8" t="s">
        <v>43</v>
      </c>
      <c r="B337" s="24" t="s">
        <v>20</v>
      </c>
      <c r="C337" s="23" t="s">
        <v>18</v>
      </c>
      <c r="D337" s="11">
        <v>17</v>
      </c>
      <c r="E337" s="12">
        <v>5387</v>
      </c>
      <c r="F337" s="11">
        <v>6</v>
      </c>
      <c r="G337" s="11">
        <v>0</v>
      </c>
      <c r="H337" s="12">
        <v>2500</v>
      </c>
      <c r="I337" s="13">
        <v>6</v>
      </c>
      <c r="J337" s="14">
        <f t="shared" si="22"/>
        <v>17</v>
      </c>
      <c r="K337" s="15">
        <f t="shared" si="23"/>
        <v>32322</v>
      </c>
      <c r="L337" s="41">
        <f t="shared" si="21"/>
        <v>0</v>
      </c>
      <c r="M337" s="15">
        <f t="shared" si="24"/>
        <v>32322</v>
      </c>
      <c r="U337" s="17"/>
      <c r="V337" s="22"/>
    </row>
    <row r="338" spans="1:22" x14ac:dyDescent="0.3">
      <c r="A338" s="18" t="s">
        <v>43</v>
      </c>
      <c r="B338" s="25" t="s">
        <v>21</v>
      </c>
      <c r="C338" s="10" t="s">
        <v>16</v>
      </c>
      <c r="D338" s="20">
        <v>417</v>
      </c>
      <c r="E338" s="21">
        <v>485</v>
      </c>
      <c r="F338" s="20">
        <v>163</v>
      </c>
      <c r="G338" s="20">
        <v>13</v>
      </c>
      <c r="H338" s="21">
        <v>250</v>
      </c>
      <c r="I338" s="13">
        <v>151</v>
      </c>
      <c r="J338" s="14">
        <f t="shared" si="22"/>
        <v>430</v>
      </c>
      <c r="K338" s="15">
        <f t="shared" si="23"/>
        <v>73235</v>
      </c>
      <c r="L338" s="41">
        <f t="shared" si="21"/>
        <v>0</v>
      </c>
      <c r="M338" s="15">
        <f t="shared" si="24"/>
        <v>73235</v>
      </c>
      <c r="U338" s="17"/>
      <c r="V338" s="22"/>
    </row>
    <row r="339" spans="1:22" x14ac:dyDescent="0.3">
      <c r="A339" s="8" t="s">
        <v>43</v>
      </c>
      <c r="B339" s="25" t="s">
        <v>21</v>
      </c>
      <c r="C339" s="19" t="s">
        <v>17</v>
      </c>
      <c r="D339" s="11">
        <v>417</v>
      </c>
      <c r="E339" s="12">
        <v>636</v>
      </c>
      <c r="F339" s="11">
        <v>107</v>
      </c>
      <c r="G339" s="11">
        <v>13</v>
      </c>
      <c r="H339" s="12">
        <v>250</v>
      </c>
      <c r="I339" s="13">
        <v>107</v>
      </c>
      <c r="J339" s="14">
        <f t="shared" si="22"/>
        <v>430</v>
      </c>
      <c r="K339" s="15">
        <f t="shared" si="23"/>
        <v>68052</v>
      </c>
      <c r="L339" s="41">
        <f t="shared" si="21"/>
        <v>0</v>
      </c>
      <c r="M339" s="15">
        <f t="shared" si="24"/>
        <v>68052</v>
      </c>
      <c r="U339" s="17"/>
      <c r="V339" s="22"/>
    </row>
    <row r="340" spans="1:22" x14ac:dyDescent="0.3">
      <c r="A340" s="18" t="s">
        <v>43</v>
      </c>
      <c r="B340" s="25" t="s">
        <v>21</v>
      </c>
      <c r="C340" s="23" t="s">
        <v>18</v>
      </c>
      <c r="D340" s="20">
        <v>417</v>
      </c>
      <c r="E340" s="21">
        <v>539</v>
      </c>
      <c r="F340" s="20">
        <v>159</v>
      </c>
      <c r="G340" s="20">
        <v>13</v>
      </c>
      <c r="H340" s="21">
        <v>250</v>
      </c>
      <c r="I340" s="13">
        <v>159</v>
      </c>
      <c r="J340" s="14">
        <f t="shared" si="22"/>
        <v>430</v>
      </c>
      <c r="K340" s="15">
        <f t="shared" si="23"/>
        <v>85701</v>
      </c>
      <c r="L340" s="41">
        <f t="shared" si="21"/>
        <v>0</v>
      </c>
      <c r="M340" s="15">
        <f t="shared" si="24"/>
        <v>85701</v>
      </c>
      <c r="U340" s="17"/>
      <c r="V340" s="22"/>
    </row>
    <row r="341" spans="1:22" x14ac:dyDescent="0.3">
      <c r="A341" s="8" t="s">
        <v>43</v>
      </c>
      <c r="B341" s="25" t="s">
        <v>22</v>
      </c>
      <c r="C341" s="10" t="s">
        <v>16</v>
      </c>
      <c r="D341" s="11">
        <v>243</v>
      </c>
      <c r="E341" s="12">
        <v>653</v>
      </c>
      <c r="F341" s="11">
        <v>89</v>
      </c>
      <c r="G341" s="11">
        <v>6</v>
      </c>
      <c r="H341" s="12">
        <v>350</v>
      </c>
      <c r="I341" s="13">
        <v>89</v>
      </c>
      <c r="J341" s="14">
        <f t="shared" si="22"/>
        <v>249</v>
      </c>
      <c r="K341" s="15">
        <f t="shared" si="23"/>
        <v>58117</v>
      </c>
      <c r="L341" s="41">
        <f t="shared" si="21"/>
        <v>0</v>
      </c>
      <c r="M341" s="15">
        <f t="shared" si="24"/>
        <v>58117</v>
      </c>
      <c r="U341" s="17"/>
      <c r="V341" s="22"/>
    </row>
    <row r="342" spans="1:22" x14ac:dyDescent="0.3">
      <c r="A342" s="18" t="s">
        <v>43</v>
      </c>
      <c r="B342" s="25" t="s">
        <v>22</v>
      </c>
      <c r="C342" s="19" t="s">
        <v>17</v>
      </c>
      <c r="D342" s="20">
        <v>243</v>
      </c>
      <c r="E342" s="21">
        <v>856</v>
      </c>
      <c r="F342" s="20">
        <v>58</v>
      </c>
      <c r="G342" s="20">
        <v>6</v>
      </c>
      <c r="H342" s="21">
        <v>350</v>
      </c>
      <c r="I342" s="13">
        <v>58</v>
      </c>
      <c r="J342" s="14">
        <f t="shared" si="22"/>
        <v>249</v>
      </c>
      <c r="K342" s="15">
        <f t="shared" si="23"/>
        <v>49648</v>
      </c>
      <c r="L342" s="41">
        <f t="shared" si="21"/>
        <v>0</v>
      </c>
      <c r="M342" s="15">
        <f t="shared" si="24"/>
        <v>49648</v>
      </c>
      <c r="U342" s="17"/>
      <c r="V342" s="22"/>
    </row>
    <row r="343" spans="1:22" x14ac:dyDescent="0.3">
      <c r="A343" s="8" t="s">
        <v>43</v>
      </c>
      <c r="B343" s="25" t="s">
        <v>22</v>
      </c>
      <c r="C343" s="23" t="s">
        <v>18</v>
      </c>
      <c r="D343" s="11">
        <v>243</v>
      </c>
      <c r="E343" s="12">
        <v>725</v>
      </c>
      <c r="F343" s="11">
        <v>86</v>
      </c>
      <c r="G343" s="11">
        <v>6</v>
      </c>
      <c r="H343" s="12">
        <v>350</v>
      </c>
      <c r="I343" s="13">
        <v>86</v>
      </c>
      <c r="J343" s="14">
        <f t="shared" si="22"/>
        <v>249</v>
      </c>
      <c r="K343" s="15">
        <f t="shared" si="23"/>
        <v>62350</v>
      </c>
      <c r="L343" s="41">
        <f t="shared" si="21"/>
        <v>0</v>
      </c>
      <c r="M343" s="15">
        <f t="shared" si="24"/>
        <v>62350</v>
      </c>
      <c r="U343" s="17"/>
      <c r="V343" s="22"/>
    </row>
    <row r="344" spans="1:22" x14ac:dyDescent="0.3">
      <c r="A344" s="18" t="s">
        <v>43</v>
      </c>
      <c r="B344" s="24" t="s">
        <v>25</v>
      </c>
      <c r="C344" s="10" t="s">
        <v>16</v>
      </c>
      <c r="D344" s="20">
        <v>30</v>
      </c>
      <c r="E344" s="21">
        <v>2611</v>
      </c>
      <c r="F344" s="20">
        <v>10</v>
      </c>
      <c r="G344" s="20">
        <v>0</v>
      </c>
      <c r="H344" s="21">
        <v>1300</v>
      </c>
      <c r="I344" s="13">
        <v>10</v>
      </c>
      <c r="J344" s="14">
        <f t="shared" si="22"/>
        <v>30</v>
      </c>
      <c r="K344" s="15">
        <f t="shared" si="23"/>
        <v>26110</v>
      </c>
      <c r="L344" s="41">
        <f t="shared" si="21"/>
        <v>0</v>
      </c>
      <c r="M344" s="15">
        <f t="shared" si="24"/>
        <v>26110</v>
      </c>
      <c r="U344" s="17"/>
      <c r="V344" s="22"/>
    </row>
    <row r="345" spans="1:22" x14ac:dyDescent="0.3">
      <c r="A345" s="8" t="s">
        <v>43</v>
      </c>
      <c r="B345" s="24" t="s">
        <v>25</v>
      </c>
      <c r="C345" s="19" t="s">
        <v>17</v>
      </c>
      <c r="D345" s="11">
        <v>30</v>
      </c>
      <c r="E345" s="12">
        <v>3423</v>
      </c>
      <c r="F345" s="11">
        <v>7</v>
      </c>
      <c r="G345" s="11">
        <v>0</v>
      </c>
      <c r="H345" s="12">
        <v>1300</v>
      </c>
      <c r="I345" s="13">
        <v>7</v>
      </c>
      <c r="J345" s="14">
        <f t="shared" si="22"/>
        <v>30</v>
      </c>
      <c r="K345" s="15">
        <f t="shared" si="23"/>
        <v>23961</v>
      </c>
      <c r="L345" s="41">
        <f t="shared" si="21"/>
        <v>0</v>
      </c>
      <c r="M345" s="15">
        <f t="shared" si="24"/>
        <v>23961</v>
      </c>
      <c r="U345" s="17"/>
      <c r="V345" s="22"/>
    </row>
    <row r="346" spans="1:22" ht="15" customHeight="1" thickBot="1" x14ac:dyDescent="0.35">
      <c r="A346" s="18" t="s">
        <v>43</v>
      </c>
      <c r="B346" s="24" t="s">
        <v>25</v>
      </c>
      <c r="C346" s="23" t="s">
        <v>18</v>
      </c>
      <c r="D346" s="20">
        <v>30</v>
      </c>
      <c r="E346" s="21">
        <v>2901</v>
      </c>
      <c r="F346" s="20">
        <v>10</v>
      </c>
      <c r="G346" s="20">
        <v>0</v>
      </c>
      <c r="H346" s="21">
        <v>1300</v>
      </c>
      <c r="I346" s="13">
        <v>10</v>
      </c>
      <c r="J346" s="14">
        <f t="shared" si="22"/>
        <v>30</v>
      </c>
      <c r="K346" s="15">
        <f t="shared" si="23"/>
        <v>29010</v>
      </c>
      <c r="L346" s="41">
        <f t="shared" si="21"/>
        <v>0</v>
      </c>
      <c r="M346" s="15">
        <f t="shared" si="24"/>
        <v>29010</v>
      </c>
      <c r="U346" s="17"/>
      <c r="V346" s="22"/>
    </row>
    <row r="347" spans="1:22" ht="15" customHeight="1" thickBot="1" x14ac:dyDescent="0.35">
      <c r="I347" s="27"/>
      <c r="J347" s="14"/>
      <c r="K347" s="15"/>
      <c r="M347" s="28"/>
      <c r="U347" s="17"/>
      <c r="V347" s="22"/>
    </row>
    <row r="348" spans="1:22" ht="15" customHeight="1" thickBot="1" x14ac:dyDescent="0.35">
      <c r="J348" s="14"/>
      <c r="K348" s="15"/>
      <c r="M348" s="29"/>
      <c r="U348" s="29"/>
      <c r="V348" s="29"/>
    </row>
    <row r="349" spans="1:22" ht="15" customHeight="1" thickBot="1" x14ac:dyDescent="0.35">
      <c r="A349" s="45" t="s">
        <v>61</v>
      </c>
      <c r="B349" s="46"/>
      <c r="C349" s="46"/>
      <c r="D349" s="46"/>
      <c r="E349" s="46"/>
      <c r="F349" s="46"/>
      <c r="G349" s="46"/>
      <c r="H349" s="46"/>
      <c r="J349" s="14"/>
      <c r="K349" s="15"/>
      <c r="M349" s="30"/>
      <c r="U349" s="30"/>
      <c r="V349" s="30"/>
    </row>
    <row r="350" spans="1:22" ht="36" x14ac:dyDescent="0.3">
      <c r="A350" s="31" t="s">
        <v>0</v>
      </c>
      <c r="B350" s="31" t="s">
        <v>1</v>
      </c>
      <c r="C350" s="31" t="s">
        <v>44</v>
      </c>
      <c r="D350" s="31" t="s">
        <v>45</v>
      </c>
      <c r="E350" s="31" t="s">
        <v>46</v>
      </c>
      <c r="F350" s="31" t="s">
        <v>47</v>
      </c>
      <c r="G350" s="31" t="s">
        <v>48</v>
      </c>
      <c r="H350" s="40" t="s">
        <v>57</v>
      </c>
      <c r="I350" s="39" t="s">
        <v>59</v>
      </c>
      <c r="J350" s="39" t="s">
        <v>60</v>
      </c>
      <c r="N350" t="s">
        <v>56</v>
      </c>
    </row>
    <row r="351" spans="1:22" x14ac:dyDescent="0.3">
      <c r="A351" s="32" t="s">
        <v>14</v>
      </c>
      <c r="B351" s="32" t="s">
        <v>15</v>
      </c>
      <c r="C351" s="32">
        <f>I5</f>
        <v>412</v>
      </c>
      <c r="D351" s="32">
        <f>I6</f>
        <v>286</v>
      </c>
      <c r="E351" s="32">
        <f>I7</f>
        <v>423</v>
      </c>
      <c r="F351" s="32">
        <f>SUM(I5:I7)</f>
        <v>1121</v>
      </c>
      <c r="G351" s="32">
        <f>J5</f>
        <v>1121</v>
      </c>
      <c r="H351" s="37">
        <v>1088</v>
      </c>
      <c r="I351" s="36">
        <v>33</v>
      </c>
      <c r="J351">
        <f t="shared" ref="J351:J382" si="25">H351+I351</f>
        <v>1121</v>
      </c>
    </row>
    <row r="352" spans="1:22" x14ac:dyDescent="0.3">
      <c r="A352" s="33" t="s">
        <v>14</v>
      </c>
      <c r="B352" s="33" t="s">
        <v>19</v>
      </c>
      <c r="C352" s="33">
        <f>I8</f>
        <v>119</v>
      </c>
      <c r="D352" s="33">
        <f>I9</f>
        <v>79</v>
      </c>
      <c r="E352" s="33">
        <f>I10</f>
        <v>116</v>
      </c>
      <c r="F352" s="33">
        <f>SUM(I8:I10)</f>
        <v>314</v>
      </c>
      <c r="G352" s="34">
        <f>J8</f>
        <v>316</v>
      </c>
      <c r="H352" s="38">
        <v>308</v>
      </c>
      <c r="I352" s="36">
        <v>6</v>
      </c>
      <c r="J352">
        <f t="shared" si="25"/>
        <v>314</v>
      </c>
    </row>
    <row r="353" spans="1:10" x14ac:dyDescent="0.3">
      <c r="A353" s="33" t="s">
        <v>14</v>
      </c>
      <c r="B353" s="33" t="s">
        <v>20</v>
      </c>
      <c r="C353" s="33">
        <f>I11</f>
        <v>27</v>
      </c>
      <c r="D353" s="33">
        <f>I12</f>
        <v>18</v>
      </c>
      <c r="E353" s="33">
        <f>I13</f>
        <v>26</v>
      </c>
      <c r="F353" s="33">
        <f>SUM(I11:I13)</f>
        <v>71</v>
      </c>
      <c r="G353" s="34">
        <f>J11</f>
        <v>81</v>
      </c>
      <c r="H353" s="37">
        <v>80</v>
      </c>
      <c r="I353" s="36">
        <v>0</v>
      </c>
      <c r="J353">
        <f t="shared" si="25"/>
        <v>80</v>
      </c>
    </row>
    <row r="354" spans="1:10" x14ac:dyDescent="0.3">
      <c r="A354" s="33" t="s">
        <v>14</v>
      </c>
      <c r="B354" s="33" t="s">
        <v>21</v>
      </c>
      <c r="C354" s="33">
        <f>I14</f>
        <v>135</v>
      </c>
      <c r="D354" s="33">
        <f>I15</f>
        <v>96</v>
      </c>
      <c r="E354" s="33">
        <f>I16</f>
        <v>143</v>
      </c>
      <c r="F354" s="33">
        <f>SUM(I14:I16)</f>
        <v>374</v>
      </c>
      <c r="G354" s="34">
        <f>J14</f>
        <v>385</v>
      </c>
      <c r="H354" s="38">
        <v>374</v>
      </c>
      <c r="I354" s="36">
        <v>0</v>
      </c>
      <c r="J354">
        <f t="shared" si="25"/>
        <v>374</v>
      </c>
    </row>
    <row r="355" spans="1:10" x14ac:dyDescent="0.3">
      <c r="A355" s="33" t="s">
        <v>14</v>
      </c>
      <c r="B355" s="33" t="s">
        <v>22</v>
      </c>
      <c r="C355" s="33">
        <f>I17</f>
        <v>40</v>
      </c>
      <c r="D355" s="33">
        <f>I18</f>
        <v>27</v>
      </c>
      <c r="E355" s="33">
        <f>I19</f>
        <v>39</v>
      </c>
      <c r="F355" s="33">
        <f>SUM(I17:I19)</f>
        <v>106</v>
      </c>
      <c r="G355" s="34">
        <f>J17</f>
        <v>114</v>
      </c>
      <c r="H355" s="37">
        <v>111</v>
      </c>
      <c r="I355" s="36">
        <v>0</v>
      </c>
      <c r="J355">
        <f t="shared" si="25"/>
        <v>111</v>
      </c>
    </row>
    <row r="356" spans="1:10" x14ac:dyDescent="0.3">
      <c r="A356" s="33" t="s">
        <v>14</v>
      </c>
      <c r="B356" s="33" t="s">
        <v>23</v>
      </c>
      <c r="C356" s="33">
        <f>I20</f>
        <v>28</v>
      </c>
      <c r="D356" s="33">
        <f>I21</f>
        <v>18</v>
      </c>
      <c r="E356" s="33">
        <f>I22</f>
        <v>27</v>
      </c>
      <c r="F356" s="33">
        <f>SUM(I20:I22)</f>
        <v>73</v>
      </c>
      <c r="G356" s="34">
        <f>J20</f>
        <v>84</v>
      </c>
      <c r="H356" s="38">
        <v>82</v>
      </c>
      <c r="I356" s="36">
        <v>0</v>
      </c>
      <c r="J356">
        <f t="shared" si="25"/>
        <v>82</v>
      </c>
    </row>
    <row r="357" spans="1:10" x14ac:dyDescent="0.3">
      <c r="A357" s="33" t="s">
        <v>24</v>
      </c>
      <c r="B357" s="33" t="s">
        <v>15</v>
      </c>
      <c r="C357" s="33">
        <f>I23</f>
        <v>366</v>
      </c>
      <c r="D357" s="33">
        <f>I24</f>
        <v>275</v>
      </c>
      <c r="E357" s="33">
        <f>I25</f>
        <v>407</v>
      </c>
      <c r="F357" s="33">
        <f>SUM(I23:I25)</f>
        <v>1048</v>
      </c>
      <c r="G357" s="34">
        <f>J23</f>
        <v>1079</v>
      </c>
      <c r="H357" s="37">
        <v>1048</v>
      </c>
      <c r="I357" s="36">
        <v>0</v>
      </c>
      <c r="J357">
        <f t="shared" si="25"/>
        <v>1048</v>
      </c>
    </row>
    <row r="358" spans="1:10" x14ac:dyDescent="0.3">
      <c r="A358" s="33" t="s">
        <v>24</v>
      </c>
      <c r="B358" s="33" t="s">
        <v>19</v>
      </c>
      <c r="C358" s="33">
        <f>I26</f>
        <v>96</v>
      </c>
      <c r="D358" s="33">
        <f>I27</f>
        <v>66</v>
      </c>
      <c r="E358" s="33">
        <f>I28</f>
        <v>98</v>
      </c>
      <c r="F358" s="33">
        <f>SUM(I26:I28)</f>
        <v>260</v>
      </c>
      <c r="G358" s="34">
        <f>J26</f>
        <v>266</v>
      </c>
      <c r="H358" s="38">
        <v>260</v>
      </c>
      <c r="I358" s="36">
        <v>0</v>
      </c>
      <c r="J358">
        <f t="shared" si="25"/>
        <v>260</v>
      </c>
    </row>
    <row r="359" spans="1:10" x14ac:dyDescent="0.3">
      <c r="A359" s="33" t="s">
        <v>24</v>
      </c>
      <c r="B359" s="33" t="s">
        <v>20</v>
      </c>
      <c r="C359" s="33">
        <f>I29</f>
        <v>39</v>
      </c>
      <c r="D359" s="33">
        <f>I30</f>
        <v>26</v>
      </c>
      <c r="E359" s="33">
        <f>I31</f>
        <v>38</v>
      </c>
      <c r="F359" s="33">
        <f>SUM(I29:I31)</f>
        <v>103</v>
      </c>
      <c r="G359" s="34">
        <f>J29</f>
        <v>119</v>
      </c>
      <c r="H359" s="37">
        <v>118</v>
      </c>
      <c r="I359" s="36">
        <v>0</v>
      </c>
      <c r="J359">
        <f t="shared" si="25"/>
        <v>118</v>
      </c>
    </row>
    <row r="360" spans="1:10" x14ac:dyDescent="0.3">
      <c r="A360" s="33" t="s">
        <v>24</v>
      </c>
      <c r="B360" s="33" t="s">
        <v>21</v>
      </c>
      <c r="C360" s="33">
        <f>I32</f>
        <v>129</v>
      </c>
      <c r="D360" s="33">
        <f>I33</f>
        <v>85</v>
      </c>
      <c r="E360" s="33">
        <f>I34</f>
        <v>126</v>
      </c>
      <c r="F360" s="33">
        <f>SUM(I32:I34)</f>
        <v>340</v>
      </c>
      <c r="G360" s="34">
        <f>J32</f>
        <v>340</v>
      </c>
      <c r="H360" s="38">
        <v>330</v>
      </c>
      <c r="I360" s="36">
        <v>10</v>
      </c>
      <c r="J360">
        <f t="shared" si="25"/>
        <v>340</v>
      </c>
    </row>
    <row r="361" spans="1:10" x14ac:dyDescent="0.3">
      <c r="A361" s="33" t="s">
        <v>24</v>
      </c>
      <c r="B361" s="33" t="s">
        <v>22</v>
      </c>
      <c r="C361" s="33">
        <f>I35</f>
        <v>40</v>
      </c>
      <c r="D361" s="33">
        <f>I36</f>
        <v>27</v>
      </c>
      <c r="E361" s="33">
        <f>I37</f>
        <v>39</v>
      </c>
      <c r="F361" s="33">
        <f>SUM(I35:I37)</f>
        <v>106</v>
      </c>
      <c r="G361" s="34">
        <f>J35</f>
        <v>114</v>
      </c>
      <c r="H361" s="37">
        <v>111</v>
      </c>
      <c r="I361" s="36">
        <v>0</v>
      </c>
      <c r="J361">
        <f t="shared" si="25"/>
        <v>111</v>
      </c>
    </row>
    <row r="362" spans="1:10" x14ac:dyDescent="0.3">
      <c r="A362" s="33" t="s">
        <v>24</v>
      </c>
      <c r="B362" s="33" t="s">
        <v>25</v>
      </c>
      <c r="C362" s="33">
        <f>I38</f>
        <v>21</v>
      </c>
      <c r="D362" s="33">
        <f>I39</f>
        <v>14</v>
      </c>
      <c r="E362" s="33">
        <f>I40</f>
        <v>20</v>
      </c>
      <c r="F362" s="33">
        <f>SUM(I38:I40)</f>
        <v>55</v>
      </c>
      <c r="G362" s="34">
        <f>J38</f>
        <v>60</v>
      </c>
      <c r="H362" s="38">
        <v>59</v>
      </c>
      <c r="I362" s="36">
        <v>0</v>
      </c>
      <c r="J362">
        <f t="shared" si="25"/>
        <v>59</v>
      </c>
    </row>
    <row r="363" spans="1:10" x14ac:dyDescent="0.3">
      <c r="A363" s="33" t="s">
        <v>26</v>
      </c>
      <c r="B363" s="33" t="s">
        <v>15</v>
      </c>
      <c r="C363" s="33">
        <f>I41</f>
        <v>137</v>
      </c>
      <c r="D363" s="33">
        <f>I42</f>
        <v>94</v>
      </c>
      <c r="E363" s="33">
        <f>I43</f>
        <v>140</v>
      </c>
      <c r="F363" s="33">
        <f>SUM(I41:I43)</f>
        <v>371</v>
      </c>
      <c r="G363" s="34">
        <f>J41</f>
        <v>371</v>
      </c>
      <c r="H363" s="37">
        <v>360</v>
      </c>
      <c r="I363" s="36">
        <v>11</v>
      </c>
      <c r="J363">
        <f t="shared" si="25"/>
        <v>371</v>
      </c>
    </row>
    <row r="364" spans="1:10" x14ac:dyDescent="0.3">
      <c r="A364" s="33" t="s">
        <v>26</v>
      </c>
      <c r="B364" s="33" t="s">
        <v>19</v>
      </c>
      <c r="C364" s="33">
        <f>I44</f>
        <v>52</v>
      </c>
      <c r="D364" s="33">
        <f>I45</f>
        <v>34</v>
      </c>
      <c r="E364" s="33">
        <f>I46</f>
        <v>51</v>
      </c>
      <c r="F364" s="33">
        <f>SUM(I44:I46)</f>
        <v>137</v>
      </c>
      <c r="G364" s="34">
        <f>J44</f>
        <v>137</v>
      </c>
      <c r="H364" s="38">
        <v>134</v>
      </c>
      <c r="I364" s="36">
        <v>3</v>
      </c>
      <c r="J364">
        <f t="shared" si="25"/>
        <v>137</v>
      </c>
    </row>
    <row r="365" spans="1:10" x14ac:dyDescent="0.3">
      <c r="A365" s="33" t="s">
        <v>26</v>
      </c>
      <c r="B365" s="33" t="s">
        <v>20</v>
      </c>
      <c r="C365" s="33">
        <f>I47</f>
        <v>6</v>
      </c>
      <c r="D365" s="33">
        <f>I48</f>
        <v>4</v>
      </c>
      <c r="E365" s="33">
        <f>I49</f>
        <v>6</v>
      </c>
      <c r="F365" s="33">
        <f>SUM(I47:I49)</f>
        <v>16</v>
      </c>
      <c r="G365" s="34">
        <f>J47</f>
        <v>18</v>
      </c>
      <c r="H365" s="37">
        <v>18</v>
      </c>
      <c r="I365" s="36">
        <v>0</v>
      </c>
      <c r="J365">
        <f t="shared" si="25"/>
        <v>18</v>
      </c>
    </row>
    <row r="366" spans="1:10" x14ac:dyDescent="0.3">
      <c r="A366" s="33" t="s">
        <v>26</v>
      </c>
      <c r="B366" s="33" t="s">
        <v>21</v>
      </c>
      <c r="C366" s="33">
        <f>I50</f>
        <v>159</v>
      </c>
      <c r="D366" s="33">
        <f>I51</f>
        <v>104</v>
      </c>
      <c r="E366" s="33">
        <f>I52</f>
        <v>154</v>
      </c>
      <c r="F366" s="33">
        <f>SUM(I50:I52)</f>
        <v>417</v>
      </c>
      <c r="G366" s="34">
        <f>J50</f>
        <v>417</v>
      </c>
      <c r="H366" s="38">
        <v>405</v>
      </c>
      <c r="I366" s="36">
        <v>12</v>
      </c>
      <c r="J366">
        <f t="shared" si="25"/>
        <v>417</v>
      </c>
    </row>
    <row r="367" spans="1:10" x14ac:dyDescent="0.3">
      <c r="A367" s="33" t="s">
        <v>26</v>
      </c>
      <c r="B367" s="33" t="s">
        <v>22</v>
      </c>
      <c r="C367" s="33">
        <f>I53</f>
        <v>89</v>
      </c>
      <c r="D367" s="33">
        <f>I54</f>
        <v>58</v>
      </c>
      <c r="E367" s="33">
        <f>I55</f>
        <v>86</v>
      </c>
      <c r="F367" s="33">
        <f>SUM(I53:I55)</f>
        <v>233</v>
      </c>
      <c r="G367" s="34">
        <f>J53</f>
        <v>249</v>
      </c>
      <c r="H367" s="37">
        <v>243</v>
      </c>
      <c r="I367" s="36">
        <v>0</v>
      </c>
      <c r="J367">
        <f t="shared" si="25"/>
        <v>243</v>
      </c>
    </row>
    <row r="368" spans="1:10" x14ac:dyDescent="0.3">
      <c r="A368" s="33" t="s">
        <v>26</v>
      </c>
      <c r="B368" s="33" t="s">
        <v>25</v>
      </c>
      <c r="C368" s="33">
        <f>I56</f>
        <v>10</v>
      </c>
      <c r="D368" s="33">
        <f>I57</f>
        <v>7</v>
      </c>
      <c r="E368" s="33">
        <f>I58</f>
        <v>10</v>
      </c>
      <c r="F368" s="33">
        <f>SUM(I56:I58)</f>
        <v>27</v>
      </c>
      <c r="G368" s="34">
        <f>J56</f>
        <v>30</v>
      </c>
      <c r="H368" s="38">
        <v>30</v>
      </c>
      <c r="I368" s="36">
        <v>0</v>
      </c>
      <c r="J368">
        <f t="shared" si="25"/>
        <v>30</v>
      </c>
    </row>
    <row r="369" spans="1:10" x14ac:dyDescent="0.3">
      <c r="A369" s="33" t="s">
        <v>27</v>
      </c>
      <c r="B369" s="33" t="s">
        <v>15</v>
      </c>
      <c r="C369" s="33">
        <f>I59</f>
        <v>358</v>
      </c>
      <c r="D369" s="33">
        <f>I60</f>
        <v>248</v>
      </c>
      <c r="E369" s="33">
        <f>I61</f>
        <v>368</v>
      </c>
      <c r="F369" s="33">
        <f>SUM(I59:I61)</f>
        <v>974</v>
      </c>
      <c r="G369" s="34">
        <f>J59</f>
        <v>974</v>
      </c>
      <c r="H369" s="37">
        <v>946</v>
      </c>
      <c r="I369" s="36">
        <v>28</v>
      </c>
      <c r="J369">
        <f t="shared" si="25"/>
        <v>974</v>
      </c>
    </row>
    <row r="370" spans="1:10" x14ac:dyDescent="0.3">
      <c r="A370" s="33" t="s">
        <v>27</v>
      </c>
      <c r="B370" s="33" t="s">
        <v>19</v>
      </c>
      <c r="C370" s="33">
        <f>I62</f>
        <v>19</v>
      </c>
      <c r="D370" s="33">
        <f>I63</f>
        <v>12</v>
      </c>
      <c r="E370" s="33">
        <f>I64</f>
        <v>18</v>
      </c>
      <c r="F370" s="33">
        <f>SUM(I62:I64)</f>
        <v>49</v>
      </c>
      <c r="G370" s="34">
        <f>J62</f>
        <v>49</v>
      </c>
      <c r="H370" s="38">
        <v>48</v>
      </c>
      <c r="I370" s="36">
        <v>1</v>
      </c>
      <c r="J370">
        <f t="shared" si="25"/>
        <v>49</v>
      </c>
    </row>
    <row r="371" spans="1:10" x14ac:dyDescent="0.3">
      <c r="A371" s="33" t="s">
        <v>27</v>
      </c>
      <c r="B371" s="33" t="s">
        <v>20</v>
      </c>
      <c r="C371" s="33">
        <f>I65</f>
        <v>36</v>
      </c>
      <c r="D371" s="33">
        <f>I66</f>
        <v>24</v>
      </c>
      <c r="E371" s="33">
        <f>I67</f>
        <v>35</v>
      </c>
      <c r="F371" s="33">
        <f>SUM(I65:I67)</f>
        <v>95</v>
      </c>
      <c r="G371" s="34">
        <f>J65</f>
        <v>108</v>
      </c>
      <c r="H371" s="37">
        <v>107</v>
      </c>
      <c r="I371" s="36">
        <v>0</v>
      </c>
      <c r="J371">
        <f t="shared" si="25"/>
        <v>107</v>
      </c>
    </row>
    <row r="372" spans="1:10" x14ac:dyDescent="0.3">
      <c r="A372" s="33" t="s">
        <v>27</v>
      </c>
      <c r="B372" s="33" t="s">
        <v>21</v>
      </c>
      <c r="C372" s="33">
        <f>I68</f>
        <v>98</v>
      </c>
      <c r="D372" s="33">
        <f>I69</f>
        <v>70</v>
      </c>
      <c r="E372" s="33">
        <f>I70</f>
        <v>104</v>
      </c>
      <c r="F372" s="33">
        <f>SUM(I68:I70)</f>
        <v>272</v>
      </c>
      <c r="G372" s="33">
        <f>J68</f>
        <v>280</v>
      </c>
      <c r="H372" s="38">
        <v>272</v>
      </c>
      <c r="I372" s="36">
        <v>0</v>
      </c>
      <c r="J372">
        <f t="shared" si="25"/>
        <v>272</v>
      </c>
    </row>
    <row r="373" spans="1:10" x14ac:dyDescent="0.3">
      <c r="A373" s="33" t="s">
        <v>27</v>
      </c>
      <c r="B373" s="33" t="s">
        <v>22</v>
      </c>
      <c r="C373" s="33">
        <f>I71</f>
        <v>45</v>
      </c>
      <c r="D373" s="33">
        <f>I72</f>
        <v>30</v>
      </c>
      <c r="E373" s="33">
        <f>I73</f>
        <v>44</v>
      </c>
      <c r="F373" s="33">
        <f>SUM(I71:I73)</f>
        <v>119</v>
      </c>
      <c r="G373" s="33">
        <f>J71</f>
        <v>127</v>
      </c>
      <c r="H373" s="37">
        <v>124</v>
      </c>
      <c r="I373" s="36">
        <v>0</v>
      </c>
      <c r="J373">
        <f t="shared" si="25"/>
        <v>124</v>
      </c>
    </row>
    <row r="374" spans="1:10" x14ac:dyDescent="0.3">
      <c r="A374" s="33" t="s">
        <v>27</v>
      </c>
      <c r="B374" s="33" t="s">
        <v>23</v>
      </c>
      <c r="C374" s="33">
        <f>I74</f>
        <v>25</v>
      </c>
      <c r="D374" s="33">
        <f>I75</f>
        <v>16</v>
      </c>
      <c r="E374" s="33">
        <f>I76</f>
        <v>24</v>
      </c>
      <c r="F374" s="33">
        <f>SUM(I74:I76)</f>
        <v>65</v>
      </c>
      <c r="G374" s="33">
        <f>J74</f>
        <v>74</v>
      </c>
      <c r="H374" s="38">
        <v>73</v>
      </c>
      <c r="I374" s="36">
        <v>0</v>
      </c>
      <c r="J374">
        <f t="shared" si="25"/>
        <v>73</v>
      </c>
    </row>
    <row r="375" spans="1:10" x14ac:dyDescent="0.3">
      <c r="A375" s="33" t="s">
        <v>27</v>
      </c>
      <c r="B375" s="33" t="s">
        <v>25</v>
      </c>
      <c r="C375" s="33">
        <f>I77</f>
        <v>13</v>
      </c>
      <c r="D375" s="33">
        <f>I78</f>
        <v>8</v>
      </c>
      <c r="E375" s="33">
        <f>I79</f>
        <v>12</v>
      </c>
      <c r="F375" s="33">
        <f>SUM(I77:I79)</f>
        <v>33</v>
      </c>
      <c r="G375" s="33">
        <f>J77</f>
        <v>37</v>
      </c>
      <c r="H375" s="37">
        <v>36</v>
      </c>
      <c r="I375" s="36">
        <v>0</v>
      </c>
      <c r="J375">
        <f t="shared" si="25"/>
        <v>36</v>
      </c>
    </row>
    <row r="376" spans="1:10" x14ac:dyDescent="0.3">
      <c r="A376" s="33" t="s">
        <v>28</v>
      </c>
      <c r="B376" s="33" t="s">
        <v>15</v>
      </c>
      <c r="C376" s="33">
        <f>I80</f>
        <v>126</v>
      </c>
      <c r="D376" s="33">
        <f>I81</f>
        <v>94</v>
      </c>
      <c r="E376" s="33">
        <f>I82</f>
        <v>140</v>
      </c>
      <c r="F376" s="33">
        <f>SUM(I80:I82)</f>
        <v>360</v>
      </c>
      <c r="G376" s="33">
        <f>J80</f>
        <v>371</v>
      </c>
      <c r="H376" s="38">
        <v>360</v>
      </c>
      <c r="I376" s="36">
        <v>0</v>
      </c>
      <c r="J376">
        <f t="shared" si="25"/>
        <v>360</v>
      </c>
    </row>
    <row r="377" spans="1:10" x14ac:dyDescent="0.3">
      <c r="A377" s="33" t="s">
        <v>28</v>
      </c>
      <c r="B377" s="33" t="s">
        <v>19</v>
      </c>
      <c r="C377" s="33">
        <f>I83</f>
        <v>49</v>
      </c>
      <c r="D377" s="33">
        <f>I84</f>
        <v>34</v>
      </c>
      <c r="E377" s="33">
        <f>I85</f>
        <v>51</v>
      </c>
      <c r="F377" s="33">
        <f>SUM(I83:I85)</f>
        <v>134</v>
      </c>
      <c r="G377" s="33">
        <f>J83</f>
        <v>137</v>
      </c>
      <c r="H377" s="37">
        <v>134</v>
      </c>
      <c r="I377" s="36">
        <v>0</v>
      </c>
      <c r="J377">
        <f t="shared" si="25"/>
        <v>134</v>
      </c>
    </row>
    <row r="378" spans="1:10" x14ac:dyDescent="0.3">
      <c r="A378" s="33" t="s">
        <v>28</v>
      </c>
      <c r="B378" s="33" t="s">
        <v>20</v>
      </c>
      <c r="C378" s="33">
        <f>I86</f>
        <v>6</v>
      </c>
      <c r="D378" s="33">
        <f>I87</f>
        <v>4</v>
      </c>
      <c r="E378" s="33">
        <f>I88</f>
        <v>6</v>
      </c>
      <c r="F378" s="33">
        <f>SUM(I86:I88)</f>
        <v>16</v>
      </c>
      <c r="G378" s="33">
        <f>J86</f>
        <v>18</v>
      </c>
      <c r="H378" s="38">
        <v>18</v>
      </c>
      <c r="I378" s="36">
        <v>0</v>
      </c>
      <c r="J378">
        <f t="shared" si="25"/>
        <v>18</v>
      </c>
    </row>
    <row r="379" spans="1:10" x14ac:dyDescent="0.3">
      <c r="A379" s="33" t="s">
        <v>28</v>
      </c>
      <c r="B379" s="33" t="s">
        <v>21</v>
      </c>
      <c r="C379" s="33">
        <f>I89</f>
        <v>161</v>
      </c>
      <c r="D379" s="33">
        <f>I90</f>
        <v>106</v>
      </c>
      <c r="E379" s="33">
        <f>I91</f>
        <v>157</v>
      </c>
      <c r="F379" s="33">
        <f>SUM(I89:I91)</f>
        <v>424</v>
      </c>
      <c r="G379" s="33">
        <f>J89</f>
        <v>424</v>
      </c>
      <c r="H379" s="37">
        <v>412</v>
      </c>
      <c r="I379" s="36">
        <v>12</v>
      </c>
      <c r="J379">
        <f t="shared" si="25"/>
        <v>424</v>
      </c>
    </row>
    <row r="380" spans="1:10" x14ac:dyDescent="0.3">
      <c r="A380" s="33" t="s">
        <v>28</v>
      </c>
      <c r="B380" s="33" t="s">
        <v>22</v>
      </c>
      <c r="C380" s="33">
        <f>I92</f>
        <v>89</v>
      </c>
      <c r="D380" s="33">
        <f>I93</f>
        <v>58</v>
      </c>
      <c r="E380" s="33">
        <f>I94</f>
        <v>86</v>
      </c>
      <c r="F380" s="33">
        <f>SUM(I92:I94)</f>
        <v>233</v>
      </c>
      <c r="G380" s="33">
        <f>J92</f>
        <v>249</v>
      </c>
      <c r="H380" s="38">
        <v>243</v>
      </c>
      <c r="I380" s="36">
        <v>0</v>
      </c>
      <c r="J380">
        <f t="shared" si="25"/>
        <v>243</v>
      </c>
    </row>
    <row r="381" spans="1:10" x14ac:dyDescent="0.3">
      <c r="A381" s="33" t="s">
        <v>28</v>
      </c>
      <c r="B381" s="33" t="s">
        <v>25</v>
      </c>
      <c r="C381" s="33">
        <f>I95</f>
        <v>10</v>
      </c>
      <c r="D381" s="33">
        <f>I96</f>
        <v>7</v>
      </c>
      <c r="E381" s="33">
        <f>I97</f>
        <v>10</v>
      </c>
      <c r="F381" s="33">
        <f>SUM(I95:I97)</f>
        <v>27</v>
      </c>
      <c r="G381" s="33">
        <f>J95</f>
        <v>30</v>
      </c>
      <c r="H381" s="37">
        <v>30</v>
      </c>
      <c r="I381" s="36">
        <v>0</v>
      </c>
      <c r="J381">
        <f t="shared" si="25"/>
        <v>30</v>
      </c>
    </row>
    <row r="382" spans="1:10" x14ac:dyDescent="0.3">
      <c r="A382" s="33" t="s">
        <v>29</v>
      </c>
      <c r="B382" s="33" t="s">
        <v>15</v>
      </c>
      <c r="C382" s="33">
        <f>I98</f>
        <v>93</v>
      </c>
      <c r="D382" s="33">
        <f>I99</f>
        <v>64</v>
      </c>
      <c r="E382" s="33">
        <f>I100</f>
        <v>95</v>
      </c>
      <c r="F382" s="33">
        <f>SUM(I98:I100)</f>
        <v>252</v>
      </c>
      <c r="G382" s="33">
        <f>J98</f>
        <v>252</v>
      </c>
      <c r="H382" s="38">
        <v>245</v>
      </c>
      <c r="I382" s="36">
        <v>7</v>
      </c>
      <c r="J382">
        <f t="shared" si="25"/>
        <v>252</v>
      </c>
    </row>
    <row r="383" spans="1:10" x14ac:dyDescent="0.3">
      <c r="A383" s="33" t="s">
        <v>29</v>
      </c>
      <c r="B383" s="33" t="s">
        <v>21</v>
      </c>
      <c r="C383" s="33">
        <f>I101</f>
        <v>156</v>
      </c>
      <c r="D383" s="33">
        <f>I102</f>
        <v>110</v>
      </c>
      <c r="E383" s="33">
        <f>I103</f>
        <v>163</v>
      </c>
      <c r="F383" s="33">
        <f>SUM(I101:I103)</f>
        <v>429</v>
      </c>
      <c r="G383" s="33">
        <f>J101</f>
        <v>442</v>
      </c>
      <c r="H383" s="37">
        <v>429</v>
      </c>
      <c r="I383" s="36">
        <v>0</v>
      </c>
      <c r="J383">
        <f t="shared" ref="J383:J414" si="26">H383+I383</f>
        <v>429</v>
      </c>
    </row>
    <row r="384" spans="1:10" x14ac:dyDescent="0.3">
      <c r="A384" s="33" t="s">
        <v>29</v>
      </c>
      <c r="B384" s="33" t="s">
        <v>22</v>
      </c>
      <c r="C384" s="33">
        <f>I104</f>
        <v>114</v>
      </c>
      <c r="D384" s="33">
        <f>I105</f>
        <v>75</v>
      </c>
      <c r="E384" s="33">
        <f>I106</f>
        <v>111</v>
      </c>
      <c r="F384" s="33">
        <f>SUM(I104:I106)</f>
        <v>300</v>
      </c>
      <c r="G384" s="33">
        <f>J104</f>
        <v>321</v>
      </c>
      <c r="H384" s="38">
        <v>313</v>
      </c>
      <c r="I384" s="36">
        <v>0</v>
      </c>
      <c r="J384">
        <f t="shared" si="26"/>
        <v>313</v>
      </c>
    </row>
    <row r="385" spans="1:10" x14ac:dyDescent="0.3">
      <c r="A385" s="33" t="s">
        <v>29</v>
      </c>
      <c r="B385" s="33" t="s">
        <v>25</v>
      </c>
      <c r="C385" s="33">
        <f>I107</f>
        <v>5</v>
      </c>
      <c r="D385" s="33">
        <f>I108</f>
        <v>3</v>
      </c>
      <c r="E385" s="33">
        <f>I109</f>
        <v>5</v>
      </c>
      <c r="F385" s="33">
        <f>SUM(I107:I109)</f>
        <v>13</v>
      </c>
      <c r="G385" s="33">
        <f>J107</f>
        <v>15</v>
      </c>
      <c r="H385" s="37">
        <v>15</v>
      </c>
      <c r="I385" s="36">
        <v>0</v>
      </c>
      <c r="J385">
        <f t="shared" si="26"/>
        <v>15</v>
      </c>
    </row>
    <row r="386" spans="1:10" x14ac:dyDescent="0.3">
      <c r="A386" s="33" t="s">
        <v>30</v>
      </c>
      <c r="B386" s="33" t="s">
        <v>15</v>
      </c>
      <c r="C386" s="33">
        <f>I110</f>
        <v>136</v>
      </c>
      <c r="D386" s="33">
        <f>I111</f>
        <v>102</v>
      </c>
      <c r="E386" s="33">
        <f>I112</f>
        <v>152</v>
      </c>
      <c r="F386" s="33">
        <f>SUM(I110:I112)</f>
        <v>390</v>
      </c>
      <c r="G386" s="33">
        <f>J110</f>
        <v>402</v>
      </c>
      <c r="H386" s="38">
        <v>390</v>
      </c>
      <c r="I386" s="36">
        <v>0</v>
      </c>
      <c r="J386">
        <f t="shared" si="26"/>
        <v>390</v>
      </c>
    </row>
    <row r="387" spans="1:10" x14ac:dyDescent="0.3">
      <c r="A387" s="33" t="s">
        <v>30</v>
      </c>
      <c r="B387" s="33" t="s">
        <v>21</v>
      </c>
      <c r="C387" s="33">
        <f>I113</f>
        <v>143</v>
      </c>
      <c r="D387" s="33">
        <f>I114</f>
        <v>101</v>
      </c>
      <c r="E387" s="33">
        <f>I115</f>
        <v>150</v>
      </c>
      <c r="F387" s="33">
        <f>SUM(I113:I115)</f>
        <v>394</v>
      </c>
      <c r="G387" s="33">
        <f>J113</f>
        <v>406</v>
      </c>
      <c r="H387" s="37">
        <v>394</v>
      </c>
      <c r="I387" s="36">
        <v>0</v>
      </c>
      <c r="J387">
        <f t="shared" si="26"/>
        <v>394</v>
      </c>
    </row>
    <row r="388" spans="1:10" x14ac:dyDescent="0.3">
      <c r="A388" s="33" t="s">
        <v>30</v>
      </c>
      <c r="B388" s="33" t="s">
        <v>22</v>
      </c>
      <c r="C388" s="33">
        <f>I116</f>
        <v>81</v>
      </c>
      <c r="D388" s="33">
        <f>I117</f>
        <v>54</v>
      </c>
      <c r="E388" s="33">
        <f>I118</f>
        <v>79</v>
      </c>
      <c r="F388" s="33">
        <f>SUM(I116:I118)</f>
        <v>214</v>
      </c>
      <c r="G388" s="33">
        <f>J116</f>
        <v>229</v>
      </c>
      <c r="H388" s="38">
        <v>223</v>
      </c>
      <c r="I388" s="36">
        <v>0</v>
      </c>
      <c r="J388">
        <f t="shared" si="26"/>
        <v>223</v>
      </c>
    </row>
    <row r="389" spans="1:10" x14ac:dyDescent="0.3">
      <c r="A389" s="33" t="s">
        <v>30</v>
      </c>
      <c r="B389" s="33" t="s">
        <v>25</v>
      </c>
      <c r="C389" s="33">
        <f>I119</f>
        <v>6</v>
      </c>
      <c r="D389" s="33">
        <f>I120</f>
        <v>4</v>
      </c>
      <c r="E389" s="33">
        <f>I121</f>
        <v>6</v>
      </c>
      <c r="F389" s="33">
        <f>SUM(I119:I121)</f>
        <v>16</v>
      </c>
      <c r="G389" s="33">
        <f>J119</f>
        <v>18</v>
      </c>
      <c r="H389" s="37">
        <v>18</v>
      </c>
      <c r="I389" s="36">
        <v>0</v>
      </c>
      <c r="J389">
        <f t="shared" si="26"/>
        <v>18</v>
      </c>
    </row>
    <row r="390" spans="1:10" x14ac:dyDescent="0.3">
      <c r="A390" s="33" t="s">
        <v>31</v>
      </c>
      <c r="B390" s="33" t="s">
        <v>15</v>
      </c>
      <c r="C390" s="33">
        <f>I122</f>
        <v>128</v>
      </c>
      <c r="D390" s="33">
        <f>I123</f>
        <v>97</v>
      </c>
      <c r="E390" s="33">
        <f>I124</f>
        <v>143</v>
      </c>
      <c r="F390" s="33">
        <f>SUM(I122:I124)</f>
        <v>368</v>
      </c>
      <c r="G390" s="33">
        <f>J122</f>
        <v>379</v>
      </c>
      <c r="H390" s="38">
        <v>368</v>
      </c>
      <c r="I390" s="36">
        <v>0</v>
      </c>
      <c r="J390">
        <f t="shared" si="26"/>
        <v>368</v>
      </c>
    </row>
    <row r="391" spans="1:10" x14ac:dyDescent="0.3">
      <c r="A391" s="33" t="s">
        <v>31</v>
      </c>
      <c r="B391" s="33" t="s">
        <v>19</v>
      </c>
      <c r="C391" s="33">
        <f>I125</f>
        <v>40</v>
      </c>
      <c r="D391" s="33">
        <f>I126</f>
        <v>27</v>
      </c>
      <c r="E391" s="33">
        <f>I127</f>
        <v>40</v>
      </c>
      <c r="F391" s="33">
        <f>SUM(I125:I127)</f>
        <v>107</v>
      </c>
      <c r="G391" s="33">
        <f>J125</f>
        <v>110</v>
      </c>
      <c r="H391" s="37">
        <v>107</v>
      </c>
      <c r="I391" s="36">
        <v>0</v>
      </c>
      <c r="J391">
        <f t="shared" si="26"/>
        <v>107</v>
      </c>
    </row>
    <row r="392" spans="1:10" x14ac:dyDescent="0.3">
      <c r="A392" s="33" t="s">
        <v>31</v>
      </c>
      <c r="B392" s="33" t="s">
        <v>21</v>
      </c>
      <c r="C392" s="33">
        <f>I128</f>
        <v>139</v>
      </c>
      <c r="D392" s="33">
        <f>I129</f>
        <v>99</v>
      </c>
      <c r="E392" s="33">
        <f>I130</f>
        <v>147</v>
      </c>
      <c r="F392" s="33">
        <f>SUM(I128:I130)</f>
        <v>385</v>
      </c>
      <c r="G392" s="33">
        <f>J128</f>
        <v>397</v>
      </c>
      <c r="H392" s="38">
        <v>385</v>
      </c>
      <c r="I392" s="36">
        <v>0</v>
      </c>
      <c r="J392">
        <f t="shared" si="26"/>
        <v>385</v>
      </c>
    </row>
    <row r="393" spans="1:10" x14ac:dyDescent="0.3">
      <c r="A393" s="33" t="s">
        <v>31</v>
      </c>
      <c r="B393" s="33" t="s">
        <v>22</v>
      </c>
      <c r="C393" s="33">
        <f>I131</f>
        <v>91</v>
      </c>
      <c r="D393" s="33">
        <f>I132</f>
        <v>60</v>
      </c>
      <c r="E393" s="33">
        <f>I133</f>
        <v>89</v>
      </c>
      <c r="F393" s="33">
        <f>SUM(I131:I133)</f>
        <v>240</v>
      </c>
      <c r="G393" s="33">
        <f>J131</f>
        <v>256</v>
      </c>
      <c r="H393" s="37">
        <v>250</v>
      </c>
      <c r="I393" s="36">
        <v>0</v>
      </c>
      <c r="J393">
        <f t="shared" si="26"/>
        <v>250</v>
      </c>
    </row>
    <row r="394" spans="1:10" x14ac:dyDescent="0.3">
      <c r="A394" s="33" t="s">
        <v>31</v>
      </c>
      <c r="B394" s="33" t="s">
        <v>25</v>
      </c>
      <c r="C394" s="33">
        <f>I134</f>
        <v>22</v>
      </c>
      <c r="D394" s="33">
        <f>I135</f>
        <v>15</v>
      </c>
      <c r="E394" s="33">
        <f>I136</f>
        <v>22</v>
      </c>
      <c r="F394" s="33">
        <f>SUM(I134:I136)</f>
        <v>59</v>
      </c>
      <c r="G394" s="33">
        <f>J134</f>
        <v>65</v>
      </c>
      <c r="H394" s="38">
        <v>64</v>
      </c>
      <c r="I394" s="36">
        <v>0</v>
      </c>
      <c r="J394">
        <f t="shared" si="26"/>
        <v>64</v>
      </c>
    </row>
    <row r="395" spans="1:10" x14ac:dyDescent="0.3">
      <c r="A395" s="33" t="s">
        <v>32</v>
      </c>
      <c r="B395" s="33" t="s">
        <v>15</v>
      </c>
      <c r="C395" s="33">
        <f>I137</f>
        <v>132</v>
      </c>
      <c r="D395" s="33">
        <f>I138</f>
        <v>100</v>
      </c>
      <c r="E395" s="33">
        <f>I139</f>
        <v>148</v>
      </c>
      <c r="F395" s="33">
        <f>SUM(I137:I139)</f>
        <v>380</v>
      </c>
      <c r="G395" s="33">
        <f>J137</f>
        <v>391</v>
      </c>
      <c r="H395" s="37">
        <v>380</v>
      </c>
      <c r="I395" s="36">
        <v>0</v>
      </c>
      <c r="J395">
        <f t="shared" si="26"/>
        <v>380</v>
      </c>
    </row>
    <row r="396" spans="1:10" x14ac:dyDescent="0.3">
      <c r="A396" s="33" t="s">
        <v>32</v>
      </c>
      <c r="B396" s="33" t="s">
        <v>19</v>
      </c>
      <c r="C396" s="33">
        <f>I140</f>
        <v>12</v>
      </c>
      <c r="D396" s="33">
        <f>I141</f>
        <v>8</v>
      </c>
      <c r="E396" s="33">
        <f>I142</f>
        <v>12</v>
      </c>
      <c r="F396" s="33">
        <f>SUM(I140:I142)</f>
        <v>32</v>
      </c>
      <c r="G396" s="33">
        <f>J140</f>
        <v>33</v>
      </c>
      <c r="H396" s="38">
        <v>32</v>
      </c>
      <c r="I396" s="36">
        <v>0</v>
      </c>
      <c r="J396">
        <f t="shared" si="26"/>
        <v>32</v>
      </c>
    </row>
    <row r="397" spans="1:10" x14ac:dyDescent="0.3">
      <c r="A397" s="33" t="s">
        <v>32</v>
      </c>
      <c r="B397" s="33" t="s">
        <v>21</v>
      </c>
      <c r="C397" s="33">
        <f>I143</f>
        <v>115</v>
      </c>
      <c r="D397" s="33">
        <f>I144</f>
        <v>75</v>
      </c>
      <c r="E397" s="33">
        <f>I145</f>
        <v>112</v>
      </c>
      <c r="F397" s="33">
        <f>SUM(I143:I145)</f>
        <v>302</v>
      </c>
      <c r="G397" s="33">
        <f>J143</f>
        <v>302</v>
      </c>
      <c r="H397" s="37">
        <v>293</v>
      </c>
      <c r="I397" s="36">
        <v>9</v>
      </c>
      <c r="J397">
        <f t="shared" si="26"/>
        <v>302</v>
      </c>
    </row>
    <row r="398" spans="1:10" x14ac:dyDescent="0.3">
      <c r="A398" s="33" t="s">
        <v>32</v>
      </c>
      <c r="B398" s="33" t="s">
        <v>22</v>
      </c>
      <c r="C398" s="33">
        <f>I146</f>
        <v>89</v>
      </c>
      <c r="D398" s="33">
        <f>I147</f>
        <v>58</v>
      </c>
      <c r="E398" s="33">
        <f>I148</f>
        <v>86</v>
      </c>
      <c r="F398" s="33">
        <f>SUM(I146:I148)</f>
        <v>233</v>
      </c>
      <c r="G398" s="33">
        <f>J146</f>
        <v>249</v>
      </c>
      <c r="H398" s="38">
        <v>243</v>
      </c>
      <c r="I398" s="36">
        <v>0</v>
      </c>
      <c r="J398">
        <f t="shared" si="26"/>
        <v>243</v>
      </c>
    </row>
    <row r="399" spans="1:10" x14ac:dyDescent="0.3">
      <c r="A399" s="33" t="s">
        <v>32</v>
      </c>
      <c r="B399" s="33" t="s">
        <v>25</v>
      </c>
      <c r="C399" s="33">
        <f>I149</f>
        <v>7</v>
      </c>
      <c r="D399" s="33">
        <f>I150</f>
        <v>5</v>
      </c>
      <c r="E399" s="33">
        <f>I151</f>
        <v>7</v>
      </c>
      <c r="F399" s="33">
        <f>SUM(I149:I151)</f>
        <v>19</v>
      </c>
      <c r="G399" s="33">
        <f>J149</f>
        <v>20</v>
      </c>
      <c r="H399" s="37">
        <v>20</v>
      </c>
      <c r="I399" s="36">
        <v>0</v>
      </c>
      <c r="J399">
        <f t="shared" si="26"/>
        <v>20</v>
      </c>
    </row>
    <row r="400" spans="1:10" x14ac:dyDescent="0.3">
      <c r="A400" s="33" t="s">
        <v>33</v>
      </c>
      <c r="B400" s="33" t="s">
        <v>15</v>
      </c>
      <c r="C400" s="33">
        <f>I152</f>
        <v>357</v>
      </c>
      <c r="D400" s="33">
        <f>I153</f>
        <v>248</v>
      </c>
      <c r="E400" s="33">
        <f>I154</f>
        <v>366</v>
      </c>
      <c r="F400" s="33">
        <f>SUM(I152:I154)</f>
        <v>971</v>
      </c>
      <c r="G400" s="33">
        <f>J152</f>
        <v>971</v>
      </c>
      <c r="H400" s="38">
        <v>943</v>
      </c>
      <c r="I400" s="36">
        <v>28</v>
      </c>
      <c r="J400">
        <f t="shared" si="26"/>
        <v>971</v>
      </c>
    </row>
    <row r="401" spans="1:10" x14ac:dyDescent="0.3">
      <c r="A401" s="33" t="s">
        <v>33</v>
      </c>
      <c r="B401" s="33" t="s">
        <v>19</v>
      </c>
      <c r="C401" s="33">
        <f>I155</f>
        <v>19</v>
      </c>
      <c r="D401" s="33">
        <f>I156</f>
        <v>12</v>
      </c>
      <c r="E401" s="33">
        <f>I157</f>
        <v>18</v>
      </c>
      <c r="F401" s="33">
        <f>SUM(I155:I157)</f>
        <v>49</v>
      </c>
      <c r="G401" s="33">
        <f>J155</f>
        <v>49</v>
      </c>
      <c r="H401" s="37">
        <v>48</v>
      </c>
      <c r="I401" s="36">
        <v>1</v>
      </c>
      <c r="J401">
        <f t="shared" si="26"/>
        <v>49</v>
      </c>
    </row>
    <row r="402" spans="1:10" x14ac:dyDescent="0.3">
      <c r="A402" s="33" t="s">
        <v>33</v>
      </c>
      <c r="B402" s="33" t="s">
        <v>20</v>
      </c>
      <c r="C402" s="33">
        <f>I158</f>
        <v>36</v>
      </c>
      <c r="D402" s="33">
        <f>I159</f>
        <v>24</v>
      </c>
      <c r="E402" s="33">
        <f>I160</f>
        <v>35</v>
      </c>
      <c r="F402" s="33">
        <f>SUM(I158:I160)</f>
        <v>95</v>
      </c>
      <c r="G402" s="33">
        <f>J158</f>
        <v>108</v>
      </c>
      <c r="H402" s="38">
        <v>107</v>
      </c>
      <c r="I402" s="36">
        <v>0</v>
      </c>
      <c r="J402">
        <f t="shared" si="26"/>
        <v>107</v>
      </c>
    </row>
    <row r="403" spans="1:10" x14ac:dyDescent="0.3">
      <c r="A403" s="33" t="s">
        <v>33</v>
      </c>
      <c r="B403" s="33" t="s">
        <v>21</v>
      </c>
      <c r="C403" s="33">
        <f>I161</f>
        <v>98</v>
      </c>
      <c r="D403" s="33">
        <f>I162</f>
        <v>70</v>
      </c>
      <c r="E403" s="33">
        <f>I163</f>
        <v>104</v>
      </c>
      <c r="F403" s="33">
        <f>SUM(I161:I163)</f>
        <v>272</v>
      </c>
      <c r="G403" s="33">
        <f>J161</f>
        <v>280</v>
      </c>
      <c r="H403" s="37">
        <v>272</v>
      </c>
      <c r="I403" s="36">
        <v>0</v>
      </c>
      <c r="J403">
        <f t="shared" si="26"/>
        <v>272</v>
      </c>
    </row>
    <row r="404" spans="1:10" x14ac:dyDescent="0.3">
      <c r="A404" s="33" t="s">
        <v>33</v>
      </c>
      <c r="B404" s="33" t="s">
        <v>22</v>
      </c>
      <c r="C404" s="33">
        <f>I164</f>
        <v>46</v>
      </c>
      <c r="D404" s="33">
        <f>I165</f>
        <v>30</v>
      </c>
      <c r="E404" s="33">
        <f>I166</f>
        <v>45</v>
      </c>
      <c r="F404" s="33">
        <f>SUM(I164:I166)</f>
        <v>121</v>
      </c>
      <c r="G404" s="33">
        <f>J164</f>
        <v>130</v>
      </c>
      <c r="H404" s="38">
        <v>127</v>
      </c>
      <c r="I404" s="36">
        <v>0</v>
      </c>
      <c r="J404">
        <f t="shared" si="26"/>
        <v>127</v>
      </c>
    </row>
    <row r="405" spans="1:10" x14ac:dyDescent="0.3">
      <c r="A405" s="33" t="s">
        <v>33</v>
      </c>
      <c r="B405" s="33" t="s">
        <v>23</v>
      </c>
      <c r="C405" s="33">
        <f>I167</f>
        <v>25</v>
      </c>
      <c r="D405" s="33">
        <f>I168</f>
        <v>16</v>
      </c>
      <c r="E405" s="33">
        <f>I169</f>
        <v>24</v>
      </c>
      <c r="F405" s="33">
        <f>SUM(I167:I169)</f>
        <v>65</v>
      </c>
      <c r="G405" s="33">
        <f>J167</f>
        <v>74</v>
      </c>
      <c r="H405" s="37">
        <v>73</v>
      </c>
      <c r="I405" s="36">
        <v>0</v>
      </c>
      <c r="J405">
        <f t="shared" si="26"/>
        <v>73</v>
      </c>
    </row>
    <row r="406" spans="1:10" x14ac:dyDescent="0.3">
      <c r="A406" s="33" t="s">
        <v>33</v>
      </c>
      <c r="B406" s="33" t="s">
        <v>25</v>
      </c>
      <c r="C406" s="33">
        <f>I170</f>
        <v>13</v>
      </c>
      <c r="D406" s="33">
        <f>I171</f>
        <v>8</v>
      </c>
      <c r="E406" s="33">
        <f>I172</f>
        <v>12</v>
      </c>
      <c r="F406" s="33">
        <f>SUM(I170:I172)</f>
        <v>33</v>
      </c>
      <c r="G406" s="33">
        <f>J170</f>
        <v>37</v>
      </c>
      <c r="H406" s="38">
        <v>36</v>
      </c>
      <c r="I406" s="36">
        <v>0</v>
      </c>
      <c r="J406">
        <f t="shared" si="26"/>
        <v>36</v>
      </c>
    </row>
    <row r="407" spans="1:10" x14ac:dyDescent="0.3">
      <c r="A407" s="33" t="s">
        <v>34</v>
      </c>
      <c r="B407" s="33" t="s">
        <v>15</v>
      </c>
      <c r="C407" s="33">
        <f>I173</f>
        <v>232</v>
      </c>
      <c r="D407" s="33">
        <f>I174</f>
        <v>161</v>
      </c>
      <c r="E407" s="33">
        <f>I175</f>
        <v>238</v>
      </c>
      <c r="F407" s="33">
        <f>SUM(I173:I175)</f>
        <v>631</v>
      </c>
      <c r="G407" s="33">
        <f>J173</f>
        <v>631</v>
      </c>
      <c r="H407" s="37">
        <v>613</v>
      </c>
      <c r="I407" s="36">
        <v>18</v>
      </c>
      <c r="J407">
        <f t="shared" si="26"/>
        <v>631</v>
      </c>
    </row>
    <row r="408" spans="1:10" x14ac:dyDescent="0.3">
      <c r="A408" s="33" t="s">
        <v>34</v>
      </c>
      <c r="B408" s="33" t="s">
        <v>21</v>
      </c>
      <c r="C408" s="33">
        <f>I176</f>
        <v>81</v>
      </c>
      <c r="D408" s="33">
        <f>I177</f>
        <v>58</v>
      </c>
      <c r="E408" s="33">
        <f>I178</f>
        <v>85</v>
      </c>
      <c r="F408" s="33">
        <f>SUM(I176:I178)</f>
        <v>224</v>
      </c>
      <c r="G408" s="33">
        <f>J176</f>
        <v>231</v>
      </c>
      <c r="H408" s="38">
        <v>224</v>
      </c>
      <c r="I408" s="36">
        <v>0</v>
      </c>
      <c r="J408">
        <f t="shared" si="26"/>
        <v>224</v>
      </c>
    </row>
    <row r="409" spans="1:10" x14ac:dyDescent="0.3">
      <c r="A409" s="33" t="s">
        <v>34</v>
      </c>
      <c r="B409" s="33" t="s">
        <v>22</v>
      </c>
      <c r="C409" s="33">
        <f>I179</f>
        <v>65</v>
      </c>
      <c r="D409" s="33">
        <f>I180</f>
        <v>43</v>
      </c>
      <c r="E409" s="33">
        <f>I181</f>
        <v>63</v>
      </c>
      <c r="F409" s="33">
        <f>SUM(I179:I181)</f>
        <v>171</v>
      </c>
      <c r="G409" s="33">
        <f>J179</f>
        <v>182</v>
      </c>
      <c r="H409" s="37">
        <v>178</v>
      </c>
      <c r="I409" s="36">
        <v>0</v>
      </c>
      <c r="J409">
        <f t="shared" si="26"/>
        <v>178</v>
      </c>
    </row>
    <row r="410" spans="1:10" x14ac:dyDescent="0.3">
      <c r="A410" s="33" t="s">
        <v>34</v>
      </c>
      <c r="B410" s="33" t="s">
        <v>23</v>
      </c>
      <c r="C410" s="33">
        <f>I182</f>
        <v>1</v>
      </c>
      <c r="D410" s="33">
        <f>I183</f>
        <v>1</v>
      </c>
      <c r="E410" s="33">
        <f>I184</f>
        <v>1</v>
      </c>
      <c r="F410" s="33">
        <f>SUM(I182:I184)</f>
        <v>3</v>
      </c>
      <c r="G410" s="33">
        <f>J182</f>
        <v>4</v>
      </c>
      <c r="H410" s="38">
        <v>4</v>
      </c>
      <c r="I410" s="36">
        <v>0</v>
      </c>
      <c r="J410">
        <f t="shared" si="26"/>
        <v>4</v>
      </c>
    </row>
    <row r="411" spans="1:10" x14ac:dyDescent="0.3">
      <c r="A411" s="33" t="s">
        <v>34</v>
      </c>
      <c r="B411" s="33" t="s">
        <v>25</v>
      </c>
      <c r="C411" s="33">
        <f>I185</f>
        <v>27</v>
      </c>
      <c r="D411" s="33">
        <f>I186</f>
        <v>17</v>
      </c>
      <c r="E411" s="33">
        <f>I187</f>
        <v>26</v>
      </c>
      <c r="F411" s="33">
        <f>SUM(I185:I187)</f>
        <v>70</v>
      </c>
      <c r="G411" s="33">
        <f>J185</f>
        <v>77</v>
      </c>
      <c r="H411" s="37">
        <v>76</v>
      </c>
      <c r="I411" s="36">
        <v>0</v>
      </c>
      <c r="J411">
        <f t="shared" si="26"/>
        <v>76</v>
      </c>
    </row>
    <row r="412" spans="1:10" x14ac:dyDescent="0.3">
      <c r="A412" s="33" t="s">
        <v>35</v>
      </c>
      <c r="B412" s="33" t="s">
        <v>15</v>
      </c>
      <c r="C412" s="33">
        <f>I188</f>
        <v>348</v>
      </c>
      <c r="D412" s="33">
        <f>I189</f>
        <v>262</v>
      </c>
      <c r="E412" s="33">
        <f>I190</f>
        <v>388</v>
      </c>
      <c r="F412" s="33">
        <f>SUM(I188:I190)</f>
        <v>998</v>
      </c>
      <c r="G412" s="33">
        <f>J188</f>
        <v>1028</v>
      </c>
      <c r="H412" s="38">
        <v>998</v>
      </c>
      <c r="I412" s="36">
        <v>0</v>
      </c>
      <c r="J412">
        <f t="shared" si="26"/>
        <v>998</v>
      </c>
    </row>
    <row r="413" spans="1:10" x14ac:dyDescent="0.3">
      <c r="A413" s="33" t="s">
        <v>35</v>
      </c>
      <c r="B413" s="33" t="s">
        <v>19</v>
      </c>
      <c r="C413" s="33">
        <f>I191</f>
        <v>98</v>
      </c>
      <c r="D413" s="33">
        <f>I192</f>
        <v>68</v>
      </c>
      <c r="E413" s="33">
        <f>I193</f>
        <v>100</v>
      </c>
      <c r="F413" s="33">
        <f>SUM(I191:I193)</f>
        <v>266</v>
      </c>
      <c r="G413" s="33">
        <f>J191</f>
        <v>273</v>
      </c>
      <c r="H413" s="37">
        <v>266</v>
      </c>
      <c r="I413" s="36">
        <v>0</v>
      </c>
      <c r="J413">
        <f t="shared" si="26"/>
        <v>266</v>
      </c>
    </row>
    <row r="414" spans="1:10" x14ac:dyDescent="0.3">
      <c r="A414" s="33" t="s">
        <v>35</v>
      </c>
      <c r="B414" s="33" t="s">
        <v>20</v>
      </c>
      <c r="C414" s="33">
        <f>I194</f>
        <v>27</v>
      </c>
      <c r="D414" s="33">
        <f>I195</f>
        <v>18</v>
      </c>
      <c r="E414" s="33">
        <f>I196</f>
        <v>26</v>
      </c>
      <c r="F414" s="33">
        <f>SUM(I194:I196)</f>
        <v>71</v>
      </c>
      <c r="G414" s="33">
        <f>J194</f>
        <v>81</v>
      </c>
      <c r="H414" s="38">
        <v>80</v>
      </c>
      <c r="I414" s="36">
        <v>0</v>
      </c>
      <c r="J414">
        <f t="shared" si="26"/>
        <v>80</v>
      </c>
    </row>
    <row r="415" spans="1:10" x14ac:dyDescent="0.3">
      <c r="A415" s="33" t="s">
        <v>35</v>
      </c>
      <c r="B415" s="33" t="s">
        <v>21</v>
      </c>
      <c r="C415" s="33">
        <f>I197</f>
        <v>174</v>
      </c>
      <c r="D415" s="33">
        <f>I198</f>
        <v>115</v>
      </c>
      <c r="E415" s="33">
        <f>I199</f>
        <v>170</v>
      </c>
      <c r="F415" s="33">
        <f>SUM(I197:I199)</f>
        <v>459</v>
      </c>
      <c r="G415" s="33">
        <f>J197</f>
        <v>459</v>
      </c>
      <c r="H415" s="37">
        <v>446</v>
      </c>
      <c r="I415" s="36">
        <v>13</v>
      </c>
      <c r="J415">
        <f t="shared" ref="J415:J446" si="27">H415+I415</f>
        <v>459</v>
      </c>
    </row>
    <row r="416" spans="1:10" x14ac:dyDescent="0.3">
      <c r="A416" s="33" t="s">
        <v>35</v>
      </c>
      <c r="B416" s="33" t="s">
        <v>22</v>
      </c>
      <c r="C416" s="33">
        <f>I200</f>
        <v>59</v>
      </c>
      <c r="D416" s="33">
        <f>I201</f>
        <v>39</v>
      </c>
      <c r="E416" s="33">
        <f>I202</f>
        <v>58</v>
      </c>
      <c r="F416" s="33">
        <f>SUM(I200:I202)</f>
        <v>156</v>
      </c>
      <c r="G416" s="33">
        <f>J200</f>
        <v>166</v>
      </c>
      <c r="H416" s="38">
        <v>162</v>
      </c>
      <c r="I416" s="36">
        <v>0</v>
      </c>
      <c r="J416">
        <f t="shared" si="27"/>
        <v>162</v>
      </c>
    </row>
    <row r="417" spans="1:10" x14ac:dyDescent="0.3">
      <c r="A417" s="33" t="s">
        <v>35</v>
      </c>
      <c r="B417" s="33" t="s">
        <v>23</v>
      </c>
      <c r="C417" s="33">
        <f>I203</f>
        <v>20</v>
      </c>
      <c r="D417" s="33">
        <f>I204</f>
        <v>13</v>
      </c>
      <c r="E417" s="33">
        <f>I205</f>
        <v>20</v>
      </c>
      <c r="F417" s="33">
        <f>SUM(I203:I205)</f>
        <v>53</v>
      </c>
      <c r="G417" s="33">
        <f>J203</f>
        <v>60</v>
      </c>
      <c r="H417" s="37">
        <v>59</v>
      </c>
      <c r="I417" s="36">
        <v>0</v>
      </c>
      <c r="J417">
        <f t="shared" si="27"/>
        <v>59</v>
      </c>
    </row>
    <row r="418" spans="1:10" x14ac:dyDescent="0.3">
      <c r="A418" s="33" t="s">
        <v>36</v>
      </c>
      <c r="B418" s="33" t="s">
        <v>15</v>
      </c>
      <c r="C418" s="33">
        <f>I206</f>
        <v>392</v>
      </c>
      <c r="D418" s="33">
        <f>I207</f>
        <v>271</v>
      </c>
      <c r="E418" s="33">
        <f>I208</f>
        <v>402</v>
      </c>
      <c r="F418" s="33">
        <f>SUM(I206:I208)</f>
        <v>1065</v>
      </c>
      <c r="G418" s="33">
        <f>J206</f>
        <v>1065</v>
      </c>
      <c r="H418" s="38">
        <v>1034</v>
      </c>
      <c r="I418" s="36">
        <v>31</v>
      </c>
      <c r="J418">
        <f t="shared" si="27"/>
        <v>1065</v>
      </c>
    </row>
    <row r="419" spans="1:10" x14ac:dyDescent="0.3">
      <c r="A419" s="33" t="s">
        <v>36</v>
      </c>
      <c r="B419" s="33" t="s">
        <v>19</v>
      </c>
      <c r="C419" s="33">
        <f>I209</f>
        <v>19</v>
      </c>
      <c r="D419" s="33">
        <f>I210</f>
        <v>12</v>
      </c>
      <c r="E419" s="33">
        <f>I211</f>
        <v>18</v>
      </c>
      <c r="F419" s="33">
        <f>SUM(I209:I211)</f>
        <v>49</v>
      </c>
      <c r="G419" s="33">
        <f>J209</f>
        <v>49</v>
      </c>
      <c r="H419" s="37">
        <v>48</v>
      </c>
      <c r="I419" s="36">
        <v>1</v>
      </c>
      <c r="J419">
        <f t="shared" si="27"/>
        <v>49</v>
      </c>
    </row>
    <row r="420" spans="1:10" x14ac:dyDescent="0.3">
      <c r="A420" s="33" t="s">
        <v>36</v>
      </c>
      <c r="B420" s="33" t="s">
        <v>20</v>
      </c>
      <c r="C420" s="33">
        <f>I212</f>
        <v>41</v>
      </c>
      <c r="D420" s="33">
        <f>I213</f>
        <v>27</v>
      </c>
      <c r="E420" s="33">
        <f>I214</f>
        <v>40</v>
      </c>
      <c r="F420" s="33">
        <f>SUM(I212:I214)</f>
        <v>108</v>
      </c>
      <c r="G420" s="33">
        <f>J212</f>
        <v>124</v>
      </c>
      <c r="H420" s="38">
        <v>123</v>
      </c>
      <c r="I420" s="36">
        <v>0</v>
      </c>
      <c r="J420">
        <f t="shared" si="27"/>
        <v>123</v>
      </c>
    </row>
    <row r="421" spans="1:10" x14ac:dyDescent="0.3">
      <c r="A421" s="33" t="s">
        <v>36</v>
      </c>
      <c r="B421" s="33" t="s">
        <v>21</v>
      </c>
      <c r="C421" s="33">
        <f>I215</f>
        <v>139</v>
      </c>
      <c r="D421" s="33">
        <f>I216</f>
        <v>91</v>
      </c>
      <c r="E421" s="33">
        <f>I217</f>
        <v>135</v>
      </c>
      <c r="F421" s="33">
        <f>SUM(I215:I217)</f>
        <v>365</v>
      </c>
      <c r="G421" s="33">
        <f>J215</f>
        <v>366</v>
      </c>
      <c r="H421" s="37">
        <v>355</v>
      </c>
      <c r="I421" s="36">
        <v>10</v>
      </c>
      <c r="J421">
        <f t="shared" si="27"/>
        <v>365</v>
      </c>
    </row>
    <row r="422" spans="1:10" x14ac:dyDescent="0.3">
      <c r="A422" s="33" t="s">
        <v>36</v>
      </c>
      <c r="B422" s="33" t="s">
        <v>22</v>
      </c>
      <c r="C422" s="33">
        <f>I218</f>
        <v>51</v>
      </c>
      <c r="D422" s="33">
        <f>I219</f>
        <v>34</v>
      </c>
      <c r="E422" s="33">
        <f>I220</f>
        <v>50</v>
      </c>
      <c r="F422" s="33">
        <f>SUM(I218:I220)</f>
        <v>135</v>
      </c>
      <c r="G422" s="33">
        <f>J218</f>
        <v>144</v>
      </c>
      <c r="H422" s="38">
        <v>140</v>
      </c>
      <c r="I422" s="36">
        <v>0</v>
      </c>
      <c r="J422">
        <f t="shared" si="27"/>
        <v>140</v>
      </c>
    </row>
    <row r="423" spans="1:10" x14ac:dyDescent="0.3">
      <c r="A423" s="33" t="s">
        <v>36</v>
      </c>
      <c r="B423" s="33" t="s">
        <v>23</v>
      </c>
      <c r="C423" s="33">
        <f>I221</f>
        <v>25</v>
      </c>
      <c r="D423" s="33">
        <f>I222</f>
        <v>16</v>
      </c>
      <c r="E423" s="33">
        <f>I223</f>
        <v>24</v>
      </c>
      <c r="F423" s="33">
        <f>SUM(I221:I223)</f>
        <v>65</v>
      </c>
      <c r="G423" s="33">
        <f>J221</f>
        <v>74</v>
      </c>
      <c r="H423" s="37">
        <v>73</v>
      </c>
      <c r="I423" s="36">
        <v>0</v>
      </c>
      <c r="J423">
        <f t="shared" si="27"/>
        <v>73</v>
      </c>
    </row>
    <row r="424" spans="1:10" x14ac:dyDescent="0.3">
      <c r="A424" s="33" t="s">
        <v>36</v>
      </c>
      <c r="B424" s="33" t="s">
        <v>25</v>
      </c>
      <c r="C424" s="33">
        <f>I224</f>
        <v>13</v>
      </c>
      <c r="D424" s="33">
        <f>I225</f>
        <v>8</v>
      </c>
      <c r="E424" s="33">
        <f>I226</f>
        <v>12</v>
      </c>
      <c r="F424" s="33">
        <f>SUM(I224:I226)</f>
        <v>33</v>
      </c>
      <c r="G424" s="33">
        <f>J224</f>
        <v>37</v>
      </c>
      <c r="H424" s="38">
        <v>36</v>
      </c>
      <c r="I424" s="36">
        <v>0</v>
      </c>
      <c r="J424">
        <f t="shared" si="27"/>
        <v>36</v>
      </c>
    </row>
    <row r="425" spans="1:10" x14ac:dyDescent="0.3">
      <c r="A425" s="33" t="s">
        <v>37</v>
      </c>
      <c r="B425" s="33" t="s">
        <v>15</v>
      </c>
      <c r="C425" s="33">
        <f>I227</f>
        <v>127</v>
      </c>
      <c r="D425" s="33">
        <f>I228</f>
        <v>96</v>
      </c>
      <c r="E425" s="33">
        <f>I229</f>
        <v>141</v>
      </c>
      <c r="F425" s="33">
        <f>SUM(I227:I229)</f>
        <v>364</v>
      </c>
      <c r="G425" s="33">
        <f>J227</f>
        <v>375</v>
      </c>
      <c r="H425" s="37">
        <v>364</v>
      </c>
      <c r="I425" s="36">
        <v>0</v>
      </c>
      <c r="J425">
        <f t="shared" si="27"/>
        <v>364</v>
      </c>
    </row>
    <row r="426" spans="1:10" x14ac:dyDescent="0.3">
      <c r="A426" s="33" t="s">
        <v>37</v>
      </c>
      <c r="B426" s="33" t="s">
        <v>19</v>
      </c>
      <c r="C426" s="33">
        <f>I230</f>
        <v>42</v>
      </c>
      <c r="D426" s="33">
        <f>I231</f>
        <v>28</v>
      </c>
      <c r="E426" s="33">
        <f>I232</f>
        <v>41</v>
      </c>
      <c r="F426" s="33">
        <f>SUM(I230:I232)</f>
        <v>111</v>
      </c>
      <c r="G426" s="33">
        <f>J230</f>
        <v>112</v>
      </c>
      <c r="H426" s="38">
        <v>109</v>
      </c>
      <c r="I426" s="36">
        <v>2</v>
      </c>
      <c r="J426">
        <f t="shared" si="27"/>
        <v>111</v>
      </c>
    </row>
    <row r="427" spans="1:10" x14ac:dyDescent="0.3">
      <c r="A427" s="33" t="s">
        <v>37</v>
      </c>
      <c r="B427" s="33" t="s">
        <v>21</v>
      </c>
      <c r="C427" s="33">
        <f>I233</f>
        <v>138</v>
      </c>
      <c r="D427" s="33">
        <f>I234</f>
        <v>99</v>
      </c>
      <c r="E427" s="33">
        <f>I235</f>
        <v>146</v>
      </c>
      <c r="F427" s="33">
        <f>SUM(I233:I235)</f>
        <v>383</v>
      </c>
      <c r="G427" s="33">
        <f>J233</f>
        <v>394</v>
      </c>
      <c r="H427" s="37">
        <v>383</v>
      </c>
      <c r="I427" s="36">
        <v>0</v>
      </c>
      <c r="J427">
        <f t="shared" si="27"/>
        <v>383</v>
      </c>
    </row>
    <row r="428" spans="1:10" x14ac:dyDescent="0.3">
      <c r="A428" s="33" t="s">
        <v>37</v>
      </c>
      <c r="B428" s="33" t="s">
        <v>22</v>
      </c>
      <c r="C428" s="33">
        <f>I236</f>
        <v>91</v>
      </c>
      <c r="D428" s="33">
        <f>I237</f>
        <v>60</v>
      </c>
      <c r="E428" s="33">
        <f>I238</f>
        <v>89</v>
      </c>
      <c r="F428" s="33">
        <f>SUM(I236:I238)</f>
        <v>240</v>
      </c>
      <c r="G428" s="33">
        <f>J236</f>
        <v>256</v>
      </c>
      <c r="H428" s="38">
        <v>250</v>
      </c>
      <c r="I428" s="36">
        <v>0</v>
      </c>
      <c r="J428">
        <f t="shared" si="27"/>
        <v>250</v>
      </c>
    </row>
    <row r="429" spans="1:10" x14ac:dyDescent="0.3">
      <c r="A429" s="33" t="s">
        <v>37</v>
      </c>
      <c r="B429" s="33" t="s">
        <v>25</v>
      </c>
      <c r="C429" s="33">
        <f>I239</f>
        <v>22</v>
      </c>
      <c r="D429" s="33">
        <f>I240</f>
        <v>15</v>
      </c>
      <c r="E429" s="33">
        <f>I241</f>
        <v>22</v>
      </c>
      <c r="F429" s="33">
        <f>SUM(I239:I241)</f>
        <v>59</v>
      </c>
      <c r="G429" s="33">
        <f>J239</f>
        <v>65</v>
      </c>
      <c r="H429" s="37">
        <v>64</v>
      </c>
      <c r="I429" s="36">
        <v>0</v>
      </c>
      <c r="J429">
        <f t="shared" si="27"/>
        <v>64</v>
      </c>
    </row>
    <row r="430" spans="1:10" x14ac:dyDescent="0.3">
      <c r="A430" s="33" t="s">
        <v>38</v>
      </c>
      <c r="B430" s="33" t="s">
        <v>15</v>
      </c>
      <c r="C430" s="33">
        <f>I242</f>
        <v>381</v>
      </c>
      <c r="D430" s="33">
        <f>I243</f>
        <v>286</v>
      </c>
      <c r="E430" s="33">
        <f>I244</f>
        <v>423</v>
      </c>
      <c r="F430" s="33">
        <f>SUM(I242:I244)</f>
        <v>1090</v>
      </c>
      <c r="G430" s="33">
        <f>J242</f>
        <v>1123</v>
      </c>
      <c r="H430" s="38">
        <v>1090</v>
      </c>
      <c r="I430" s="36">
        <v>0</v>
      </c>
      <c r="J430">
        <f t="shared" si="27"/>
        <v>1090</v>
      </c>
    </row>
    <row r="431" spans="1:10" x14ac:dyDescent="0.3">
      <c r="A431" s="33" t="s">
        <v>38</v>
      </c>
      <c r="B431" s="33" t="s">
        <v>19</v>
      </c>
      <c r="C431" s="33">
        <f>I245</f>
        <v>119</v>
      </c>
      <c r="D431" s="33">
        <f>I246</f>
        <v>78</v>
      </c>
      <c r="E431" s="33">
        <f>I247</f>
        <v>115</v>
      </c>
      <c r="F431" s="33">
        <f>SUM(I245:I247)</f>
        <v>312</v>
      </c>
      <c r="G431" s="33">
        <f>J245</f>
        <v>314</v>
      </c>
      <c r="H431" s="37">
        <v>306</v>
      </c>
      <c r="I431" s="36">
        <v>6</v>
      </c>
      <c r="J431">
        <f t="shared" si="27"/>
        <v>312</v>
      </c>
    </row>
    <row r="432" spans="1:10" x14ac:dyDescent="0.3">
      <c r="A432" s="33" t="s">
        <v>38</v>
      </c>
      <c r="B432" s="33" t="s">
        <v>20</v>
      </c>
      <c r="C432" s="33">
        <f>I248</f>
        <v>27</v>
      </c>
      <c r="D432" s="33">
        <f>I249</f>
        <v>18</v>
      </c>
      <c r="E432" s="33">
        <f>I250</f>
        <v>26</v>
      </c>
      <c r="F432" s="33">
        <f>SUM(I248:I250)</f>
        <v>71</v>
      </c>
      <c r="G432" s="33">
        <f>J248</f>
        <v>81</v>
      </c>
      <c r="H432" s="38">
        <v>80</v>
      </c>
      <c r="I432" s="36">
        <v>0</v>
      </c>
      <c r="J432">
        <f t="shared" si="27"/>
        <v>80</v>
      </c>
    </row>
    <row r="433" spans="1:10" x14ac:dyDescent="0.3">
      <c r="A433" s="33" t="s">
        <v>38</v>
      </c>
      <c r="B433" s="33" t="s">
        <v>21</v>
      </c>
      <c r="C433" s="33">
        <f>I251</f>
        <v>135</v>
      </c>
      <c r="D433" s="33">
        <f>I252</f>
        <v>96</v>
      </c>
      <c r="E433" s="33">
        <f>I253</f>
        <v>143</v>
      </c>
      <c r="F433" s="33">
        <f>SUM(I251:I253)</f>
        <v>374</v>
      </c>
      <c r="G433" s="33">
        <f>J251</f>
        <v>385</v>
      </c>
      <c r="H433" s="37">
        <v>374</v>
      </c>
      <c r="I433" s="36">
        <v>0</v>
      </c>
      <c r="J433">
        <f t="shared" si="27"/>
        <v>374</v>
      </c>
    </row>
    <row r="434" spans="1:10" x14ac:dyDescent="0.3">
      <c r="A434" s="33" t="s">
        <v>38</v>
      </c>
      <c r="B434" s="33" t="s">
        <v>22</v>
      </c>
      <c r="C434" s="33">
        <f>I254</f>
        <v>40</v>
      </c>
      <c r="D434" s="33">
        <f>I255</f>
        <v>27</v>
      </c>
      <c r="E434" s="33">
        <f>I256</f>
        <v>39</v>
      </c>
      <c r="F434" s="33">
        <f>SUM(I254:I256)</f>
        <v>106</v>
      </c>
      <c r="G434" s="33">
        <f>J254</f>
        <v>114</v>
      </c>
      <c r="H434" s="38">
        <v>111</v>
      </c>
      <c r="I434" s="36">
        <v>0</v>
      </c>
      <c r="J434">
        <f t="shared" si="27"/>
        <v>111</v>
      </c>
    </row>
    <row r="435" spans="1:10" x14ac:dyDescent="0.3">
      <c r="A435" s="33" t="s">
        <v>38</v>
      </c>
      <c r="B435" s="33" t="s">
        <v>23</v>
      </c>
      <c r="C435" s="33">
        <f>I257</f>
        <v>28</v>
      </c>
      <c r="D435" s="33">
        <f>I258</f>
        <v>18</v>
      </c>
      <c r="E435" s="33">
        <f>I259</f>
        <v>27</v>
      </c>
      <c r="F435" s="33">
        <f>SUM(I257:I259)</f>
        <v>73</v>
      </c>
      <c r="G435" s="33">
        <f>J257</f>
        <v>84</v>
      </c>
      <c r="H435" s="37">
        <v>82</v>
      </c>
      <c r="I435" s="36">
        <v>0</v>
      </c>
      <c r="J435">
        <f t="shared" si="27"/>
        <v>82</v>
      </c>
    </row>
    <row r="436" spans="1:10" x14ac:dyDescent="0.3">
      <c r="A436" s="33" t="s">
        <v>39</v>
      </c>
      <c r="B436" s="33" t="s">
        <v>15</v>
      </c>
      <c r="C436" s="33">
        <f>I260</f>
        <v>412</v>
      </c>
      <c r="D436" s="33">
        <f>I261</f>
        <v>285</v>
      </c>
      <c r="E436" s="33">
        <f>I262</f>
        <v>422</v>
      </c>
      <c r="F436" s="33">
        <f>SUM(I260:I262)</f>
        <v>1119</v>
      </c>
      <c r="G436" s="33">
        <f>J260</f>
        <v>1119</v>
      </c>
      <c r="H436" s="38">
        <v>1086</v>
      </c>
      <c r="I436" s="36">
        <v>33</v>
      </c>
      <c r="J436">
        <f t="shared" si="27"/>
        <v>1119</v>
      </c>
    </row>
    <row r="437" spans="1:10" x14ac:dyDescent="0.3">
      <c r="A437" s="33" t="s">
        <v>39</v>
      </c>
      <c r="B437" s="33" t="s">
        <v>19</v>
      </c>
      <c r="C437" s="33">
        <f>I263</f>
        <v>103</v>
      </c>
      <c r="D437" s="33">
        <f>I264</f>
        <v>68</v>
      </c>
      <c r="E437" s="33">
        <f>I265</f>
        <v>100</v>
      </c>
      <c r="F437" s="33">
        <f>SUM(I263:I265)</f>
        <v>271</v>
      </c>
      <c r="G437" s="33">
        <f>J263</f>
        <v>272</v>
      </c>
      <c r="H437" s="37">
        <v>265</v>
      </c>
      <c r="I437" s="36">
        <v>6</v>
      </c>
      <c r="J437">
        <f t="shared" si="27"/>
        <v>271</v>
      </c>
    </row>
    <row r="438" spans="1:10" x14ac:dyDescent="0.3">
      <c r="A438" s="33" t="s">
        <v>39</v>
      </c>
      <c r="B438" s="33" t="s">
        <v>20</v>
      </c>
      <c r="C438" s="33">
        <f>I266</f>
        <v>25</v>
      </c>
      <c r="D438" s="33">
        <f>I267</f>
        <v>16</v>
      </c>
      <c r="E438" s="33">
        <f>I268</f>
        <v>24</v>
      </c>
      <c r="F438" s="33">
        <f>SUM(I266:I268)</f>
        <v>65</v>
      </c>
      <c r="G438" s="33">
        <f>J266</f>
        <v>76</v>
      </c>
      <c r="H438" s="38">
        <v>75</v>
      </c>
      <c r="I438" s="36">
        <v>0</v>
      </c>
      <c r="J438">
        <f t="shared" si="27"/>
        <v>75</v>
      </c>
    </row>
    <row r="439" spans="1:10" x14ac:dyDescent="0.3">
      <c r="A439" s="33" t="s">
        <v>39</v>
      </c>
      <c r="B439" s="33" t="s">
        <v>21</v>
      </c>
      <c r="C439" s="33">
        <f>I269</f>
        <v>203</v>
      </c>
      <c r="D439" s="33">
        <f>I270</f>
        <v>144</v>
      </c>
      <c r="E439" s="33">
        <f>I271</f>
        <v>213</v>
      </c>
      <c r="F439" s="33">
        <f>SUM(I269:I271)</f>
        <v>560</v>
      </c>
      <c r="G439" s="33">
        <f>J269</f>
        <v>577</v>
      </c>
      <c r="H439" s="37">
        <v>560</v>
      </c>
      <c r="I439" s="36">
        <v>0</v>
      </c>
      <c r="J439">
        <f t="shared" si="27"/>
        <v>560</v>
      </c>
    </row>
    <row r="440" spans="1:10" x14ac:dyDescent="0.3">
      <c r="A440" s="33" t="s">
        <v>39</v>
      </c>
      <c r="B440" s="33" t="s">
        <v>23</v>
      </c>
      <c r="C440" s="33">
        <f>I272</f>
        <v>44</v>
      </c>
      <c r="D440" s="33">
        <f>I273</f>
        <v>29</v>
      </c>
      <c r="E440" s="33">
        <f>I274</f>
        <v>43</v>
      </c>
      <c r="F440" s="33">
        <f>SUM(I272:I274)</f>
        <v>116</v>
      </c>
      <c r="G440" s="33">
        <f>J272</f>
        <v>131</v>
      </c>
      <c r="H440" s="38">
        <v>128</v>
      </c>
      <c r="I440" s="36">
        <v>0</v>
      </c>
      <c r="J440">
        <f t="shared" si="27"/>
        <v>128</v>
      </c>
    </row>
    <row r="441" spans="1:10" x14ac:dyDescent="0.3">
      <c r="A441" s="33" t="s">
        <v>40</v>
      </c>
      <c r="B441" s="33" t="s">
        <v>15</v>
      </c>
      <c r="C441" s="33">
        <f>I275</f>
        <v>407</v>
      </c>
      <c r="D441" s="33">
        <f>I276</f>
        <v>307</v>
      </c>
      <c r="E441" s="33">
        <f>I277</f>
        <v>454</v>
      </c>
      <c r="F441" s="33">
        <f>SUM(I275:I277)</f>
        <v>1168</v>
      </c>
      <c r="G441" s="33">
        <f>J275</f>
        <v>1203</v>
      </c>
      <c r="H441" s="37">
        <v>1168</v>
      </c>
      <c r="I441" s="36">
        <v>0</v>
      </c>
      <c r="J441">
        <f t="shared" si="27"/>
        <v>1168</v>
      </c>
    </row>
    <row r="442" spans="1:10" x14ac:dyDescent="0.3">
      <c r="A442" s="33" t="s">
        <v>40</v>
      </c>
      <c r="B442" s="33" t="s">
        <v>19</v>
      </c>
      <c r="C442" s="33">
        <f>I278</f>
        <v>113</v>
      </c>
      <c r="D442" s="33">
        <f>I279</f>
        <v>79</v>
      </c>
      <c r="E442" s="33">
        <f>I280</f>
        <v>116</v>
      </c>
      <c r="F442" s="33">
        <f>SUM(I278:I280)</f>
        <v>308</v>
      </c>
      <c r="G442" s="33">
        <f>J278</f>
        <v>316</v>
      </c>
      <c r="H442" s="38">
        <v>308</v>
      </c>
      <c r="I442" s="36">
        <v>0</v>
      </c>
      <c r="J442">
        <f t="shared" si="27"/>
        <v>308</v>
      </c>
    </row>
    <row r="443" spans="1:10" x14ac:dyDescent="0.3">
      <c r="A443" s="33" t="s">
        <v>40</v>
      </c>
      <c r="B443" s="33" t="s">
        <v>20</v>
      </c>
      <c r="C443" s="33">
        <f>I281</f>
        <v>32</v>
      </c>
      <c r="D443" s="33">
        <f>I282</f>
        <v>21</v>
      </c>
      <c r="E443" s="33">
        <f>I283</f>
        <v>31</v>
      </c>
      <c r="F443" s="33">
        <f>SUM(I281:I283)</f>
        <v>84</v>
      </c>
      <c r="G443" s="33">
        <f>J281</f>
        <v>96</v>
      </c>
      <c r="H443" s="37">
        <v>95</v>
      </c>
      <c r="I443" s="36">
        <v>0</v>
      </c>
      <c r="J443">
        <f t="shared" si="27"/>
        <v>95</v>
      </c>
    </row>
    <row r="444" spans="1:10" x14ac:dyDescent="0.3">
      <c r="A444" s="33" t="s">
        <v>40</v>
      </c>
      <c r="B444" s="33" t="s">
        <v>21</v>
      </c>
      <c r="C444" s="33">
        <f>I284</f>
        <v>148</v>
      </c>
      <c r="D444" s="33">
        <f>I285</f>
        <v>105</v>
      </c>
      <c r="E444" s="33">
        <f>I286</f>
        <v>155</v>
      </c>
      <c r="F444" s="33">
        <f>SUM(I284:I286)</f>
        <v>408</v>
      </c>
      <c r="G444" s="33">
        <f>J284</f>
        <v>420</v>
      </c>
      <c r="H444" s="38">
        <v>408</v>
      </c>
      <c r="I444" s="36">
        <v>0</v>
      </c>
      <c r="J444">
        <f t="shared" si="27"/>
        <v>408</v>
      </c>
    </row>
    <row r="445" spans="1:10" x14ac:dyDescent="0.3">
      <c r="A445" s="33" t="s">
        <v>40</v>
      </c>
      <c r="B445" s="33" t="s">
        <v>22</v>
      </c>
      <c r="C445" s="33">
        <f>I287</f>
        <v>42</v>
      </c>
      <c r="D445" s="33">
        <f>I288</f>
        <v>27</v>
      </c>
      <c r="E445" s="33">
        <f>I289</f>
        <v>40</v>
      </c>
      <c r="F445" s="33">
        <f>SUM(I287:I289)</f>
        <v>109</v>
      </c>
      <c r="G445" s="33">
        <f>J287</f>
        <v>117</v>
      </c>
      <c r="H445" s="37">
        <v>114</v>
      </c>
      <c r="I445" s="36">
        <v>0</v>
      </c>
      <c r="J445">
        <f t="shared" si="27"/>
        <v>114</v>
      </c>
    </row>
    <row r="446" spans="1:10" x14ac:dyDescent="0.3">
      <c r="A446" s="33" t="s">
        <v>40</v>
      </c>
      <c r="B446" s="33" t="s">
        <v>23</v>
      </c>
      <c r="C446" s="33">
        <f>I290</f>
        <v>28</v>
      </c>
      <c r="D446" s="33">
        <f>I291</f>
        <v>18</v>
      </c>
      <c r="E446" s="33">
        <f>I292</f>
        <v>27</v>
      </c>
      <c r="F446" s="33">
        <f>SUM(I290:I292)</f>
        <v>73</v>
      </c>
      <c r="G446" s="33">
        <f>J290</f>
        <v>84</v>
      </c>
      <c r="H446" s="38">
        <v>82</v>
      </c>
      <c r="I446" s="36">
        <v>0</v>
      </c>
      <c r="J446">
        <f t="shared" si="27"/>
        <v>82</v>
      </c>
    </row>
    <row r="447" spans="1:10" x14ac:dyDescent="0.3">
      <c r="A447" s="33" t="s">
        <v>41</v>
      </c>
      <c r="B447" s="33" t="s">
        <v>15</v>
      </c>
      <c r="C447" s="33">
        <f>I293</f>
        <v>137</v>
      </c>
      <c r="D447" s="33">
        <f>I294</f>
        <v>94</v>
      </c>
      <c r="E447" s="33">
        <f>I295</f>
        <v>140</v>
      </c>
      <c r="F447" s="33">
        <f>SUM(I293:I295)</f>
        <v>371</v>
      </c>
      <c r="G447" s="33">
        <f>J293</f>
        <v>371</v>
      </c>
      <c r="H447" s="37">
        <v>360</v>
      </c>
      <c r="I447" s="36">
        <v>11</v>
      </c>
      <c r="J447">
        <f t="shared" ref="J447:J478" si="28">H447+I447</f>
        <v>371</v>
      </c>
    </row>
    <row r="448" spans="1:10" x14ac:dyDescent="0.3">
      <c r="A448" s="33" t="s">
        <v>41</v>
      </c>
      <c r="B448" s="33" t="s">
        <v>19</v>
      </c>
      <c r="C448" s="33">
        <f>I296</f>
        <v>52</v>
      </c>
      <c r="D448" s="33">
        <f>I297</f>
        <v>34</v>
      </c>
      <c r="E448" s="33">
        <f>I298</f>
        <v>51</v>
      </c>
      <c r="F448" s="33">
        <f>SUM(I296:I298)</f>
        <v>137</v>
      </c>
      <c r="G448" s="33">
        <f>J296</f>
        <v>137</v>
      </c>
      <c r="H448" s="38">
        <v>134</v>
      </c>
      <c r="I448" s="36">
        <v>3</v>
      </c>
      <c r="J448">
        <f t="shared" si="28"/>
        <v>137</v>
      </c>
    </row>
    <row r="449" spans="1:10" x14ac:dyDescent="0.3">
      <c r="A449" s="33" t="s">
        <v>41</v>
      </c>
      <c r="B449" s="33" t="s">
        <v>20</v>
      </c>
      <c r="C449" s="33">
        <f>I299</f>
        <v>6</v>
      </c>
      <c r="D449" s="33">
        <f>I300</f>
        <v>4</v>
      </c>
      <c r="E449" s="33">
        <f>I301</f>
        <v>6</v>
      </c>
      <c r="F449" s="33">
        <f>SUM(I299:I301)</f>
        <v>16</v>
      </c>
      <c r="G449" s="33">
        <f>J299</f>
        <v>18</v>
      </c>
      <c r="H449" s="37">
        <v>18</v>
      </c>
      <c r="I449" s="36">
        <v>0</v>
      </c>
      <c r="J449">
        <f t="shared" si="28"/>
        <v>18</v>
      </c>
    </row>
    <row r="450" spans="1:10" x14ac:dyDescent="0.3">
      <c r="A450" s="33" t="s">
        <v>41</v>
      </c>
      <c r="B450" s="33" t="s">
        <v>21</v>
      </c>
      <c r="C450" s="33">
        <f>I302</f>
        <v>149</v>
      </c>
      <c r="D450" s="33">
        <f>I303</f>
        <v>106</v>
      </c>
      <c r="E450" s="33">
        <f>I304</f>
        <v>157</v>
      </c>
      <c r="F450" s="33">
        <f>SUM(I302:I304)</f>
        <v>412</v>
      </c>
      <c r="G450" s="33">
        <f>J302</f>
        <v>424</v>
      </c>
      <c r="H450" s="38">
        <v>412</v>
      </c>
      <c r="I450" s="36">
        <v>0</v>
      </c>
      <c r="J450">
        <f t="shared" si="28"/>
        <v>412</v>
      </c>
    </row>
    <row r="451" spans="1:10" x14ac:dyDescent="0.3">
      <c r="A451" s="33" t="s">
        <v>41</v>
      </c>
      <c r="B451" s="33" t="s">
        <v>22</v>
      </c>
      <c r="C451" s="33">
        <f>I305</f>
        <v>89</v>
      </c>
      <c r="D451" s="33">
        <f>I306</f>
        <v>58</v>
      </c>
      <c r="E451" s="33">
        <f>I307</f>
        <v>86</v>
      </c>
      <c r="F451" s="33">
        <f>SUM(I305:I307)</f>
        <v>233</v>
      </c>
      <c r="G451" s="33">
        <f>J305</f>
        <v>249</v>
      </c>
      <c r="H451" s="37">
        <v>243</v>
      </c>
      <c r="I451" s="36">
        <v>0</v>
      </c>
      <c r="J451">
        <f t="shared" si="28"/>
        <v>243</v>
      </c>
    </row>
    <row r="452" spans="1:10" x14ac:dyDescent="0.3">
      <c r="A452" s="33" t="s">
        <v>41</v>
      </c>
      <c r="B452" s="33" t="s">
        <v>25</v>
      </c>
      <c r="C452" s="33">
        <f>I308</f>
        <v>10</v>
      </c>
      <c r="D452" s="33">
        <f>I309</f>
        <v>7</v>
      </c>
      <c r="E452" s="33">
        <f>I310</f>
        <v>10</v>
      </c>
      <c r="F452" s="33">
        <f>SUM(I308:I310)</f>
        <v>27</v>
      </c>
      <c r="G452" s="33">
        <f>J308</f>
        <v>30</v>
      </c>
      <c r="H452" s="38">
        <v>30</v>
      </c>
      <c r="I452" s="36">
        <v>0</v>
      </c>
      <c r="J452">
        <f t="shared" si="28"/>
        <v>30</v>
      </c>
    </row>
    <row r="453" spans="1:10" x14ac:dyDescent="0.3">
      <c r="A453" s="33" t="s">
        <v>42</v>
      </c>
      <c r="B453" s="33" t="s">
        <v>15</v>
      </c>
      <c r="C453" s="33">
        <f>I311</f>
        <v>348</v>
      </c>
      <c r="D453" s="33">
        <f>I312</f>
        <v>262</v>
      </c>
      <c r="E453" s="33">
        <f>I313</f>
        <v>388</v>
      </c>
      <c r="F453" s="33">
        <f>SUM(I311:I313)</f>
        <v>998</v>
      </c>
      <c r="G453" s="33">
        <f>J311</f>
        <v>1028</v>
      </c>
      <c r="H453" s="37">
        <v>998</v>
      </c>
      <c r="I453" s="36">
        <v>0</v>
      </c>
      <c r="J453">
        <f t="shared" si="28"/>
        <v>998</v>
      </c>
    </row>
    <row r="454" spans="1:10" x14ac:dyDescent="0.3">
      <c r="A454" s="33" t="s">
        <v>42</v>
      </c>
      <c r="B454" s="33" t="s">
        <v>19</v>
      </c>
      <c r="C454" s="33">
        <f>I314</f>
        <v>98</v>
      </c>
      <c r="D454" s="33">
        <f>I315</f>
        <v>68</v>
      </c>
      <c r="E454" s="33">
        <f>I316</f>
        <v>100</v>
      </c>
      <c r="F454" s="33">
        <f>SUM(I314:I316)</f>
        <v>266</v>
      </c>
      <c r="G454" s="33">
        <f>J314</f>
        <v>273</v>
      </c>
      <c r="H454" s="38">
        <v>266</v>
      </c>
      <c r="I454" s="36">
        <v>0</v>
      </c>
      <c r="J454">
        <f t="shared" si="28"/>
        <v>266</v>
      </c>
    </row>
    <row r="455" spans="1:10" x14ac:dyDescent="0.3">
      <c r="A455" s="33" t="s">
        <v>42</v>
      </c>
      <c r="B455" s="33" t="s">
        <v>20</v>
      </c>
      <c r="C455" s="33">
        <f>I317</f>
        <v>27</v>
      </c>
      <c r="D455" s="33">
        <f>I318</f>
        <v>18</v>
      </c>
      <c r="E455" s="33">
        <f>I319</f>
        <v>26</v>
      </c>
      <c r="F455" s="33">
        <f>SUM(I317:I319)</f>
        <v>71</v>
      </c>
      <c r="G455" s="33">
        <f>J317</f>
        <v>81</v>
      </c>
      <c r="H455" s="37">
        <v>80</v>
      </c>
      <c r="I455" s="36">
        <v>0</v>
      </c>
      <c r="J455">
        <f t="shared" si="28"/>
        <v>80</v>
      </c>
    </row>
    <row r="456" spans="1:10" x14ac:dyDescent="0.3">
      <c r="A456" s="33" t="s">
        <v>42</v>
      </c>
      <c r="B456" s="33" t="s">
        <v>21</v>
      </c>
      <c r="C456" s="33">
        <f>I320</f>
        <v>161</v>
      </c>
      <c r="D456" s="33">
        <f>I321</f>
        <v>115</v>
      </c>
      <c r="E456" s="33">
        <f>I322</f>
        <v>170</v>
      </c>
      <c r="F456" s="33">
        <f>SUM(I320:I322)</f>
        <v>446</v>
      </c>
      <c r="G456" s="33">
        <f>J320</f>
        <v>459</v>
      </c>
      <c r="H456" s="38">
        <v>446</v>
      </c>
      <c r="I456" s="36">
        <v>0</v>
      </c>
      <c r="J456">
        <f t="shared" si="28"/>
        <v>446</v>
      </c>
    </row>
    <row r="457" spans="1:10" x14ac:dyDescent="0.3">
      <c r="A457" s="33" t="s">
        <v>42</v>
      </c>
      <c r="B457" s="33" t="s">
        <v>22</v>
      </c>
      <c r="C457" s="33">
        <f>I323</f>
        <v>59</v>
      </c>
      <c r="D457" s="33">
        <f>I324</f>
        <v>39</v>
      </c>
      <c r="E457" s="33">
        <f>I325</f>
        <v>58</v>
      </c>
      <c r="F457" s="33">
        <f>SUM(I323:I325)</f>
        <v>156</v>
      </c>
      <c r="G457" s="33">
        <f>J323</f>
        <v>166</v>
      </c>
      <c r="H457" s="37">
        <v>162</v>
      </c>
      <c r="I457" s="36">
        <v>0</v>
      </c>
      <c r="J457">
        <f t="shared" si="28"/>
        <v>162</v>
      </c>
    </row>
    <row r="458" spans="1:10" x14ac:dyDescent="0.3">
      <c r="A458" s="33" t="s">
        <v>42</v>
      </c>
      <c r="B458" s="33" t="s">
        <v>23</v>
      </c>
      <c r="C458" s="33">
        <f>I326</f>
        <v>20</v>
      </c>
      <c r="D458" s="33">
        <f>I327</f>
        <v>13</v>
      </c>
      <c r="E458" s="33">
        <f>I328</f>
        <v>20</v>
      </c>
      <c r="F458" s="33">
        <f>SUM(I326:I328)</f>
        <v>53</v>
      </c>
      <c r="G458" s="33">
        <f>J326</f>
        <v>60</v>
      </c>
      <c r="H458" s="38">
        <v>59</v>
      </c>
      <c r="I458" s="36">
        <v>0</v>
      </c>
      <c r="J458">
        <f t="shared" si="28"/>
        <v>59</v>
      </c>
    </row>
    <row r="459" spans="1:10" x14ac:dyDescent="0.3">
      <c r="A459" s="33" t="s">
        <v>43</v>
      </c>
      <c r="B459" s="33" t="s">
        <v>15</v>
      </c>
      <c r="C459" s="33">
        <f>I329</f>
        <v>137</v>
      </c>
      <c r="D459" s="33">
        <f>I330</f>
        <v>94</v>
      </c>
      <c r="E459" s="33">
        <f>I331</f>
        <v>140</v>
      </c>
      <c r="F459" s="33">
        <f>SUM(I329:I331)</f>
        <v>371</v>
      </c>
      <c r="G459" s="33">
        <f>J329</f>
        <v>371</v>
      </c>
      <c r="H459" s="37">
        <v>360</v>
      </c>
      <c r="I459" s="36">
        <v>11</v>
      </c>
      <c r="J459">
        <f t="shared" si="28"/>
        <v>371</v>
      </c>
    </row>
    <row r="460" spans="1:10" x14ac:dyDescent="0.3">
      <c r="A460" s="33" t="s">
        <v>43</v>
      </c>
      <c r="B460" s="33" t="s">
        <v>19</v>
      </c>
      <c r="C460" s="33">
        <f>I332</f>
        <v>52</v>
      </c>
      <c r="D460" s="33">
        <f>I333</f>
        <v>34</v>
      </c>
      <c r="E460" s="33">
        <f>I334</f>
        <v>51</v>
      </c>
      <c r="F460" s="33">
        <f>SUM(I332:I334)</f>
        <v>137</v>
      </c>
      <c r="G460" s="33">
        <f>J332</f>
        <v>137</v>
      </c>
      <c r="H460" s="38">
        <v>134</v>
      </c>
      <c r="I460" s="36">
        <v>3</v>
      </c>
      <c r="J460">
        <f t="shared" si="28"/>
        <v>137</v>
      </c>
    </row>
    <row r="461" spans="1:10" x14ac:dyDescent="0.3">
      <c r="A461" s="33" t="s">
        <v>43</v>
      </c>
      <c r="B461" s="33" t="s">
        <v>20</v>
      </c>
      <c r="C461" s="33">
        <f>I335</f>
        <v>6</v>
      </c>
      <c r="D461" s="33">
        <f>I336</f>
        <v>4</v>
      </c>
      <c r="E461" s="33">
        <f>I337</f>
        <v>6</v>
      </c>
      <c r="F461" s="33">
        <f>SUM(I335:I337)</f>
        <v>16</v>
      </c>
      <c r="G461" s="33">
        <f>J335</f>
        <v>17</v>
      </c>
      <c r="H461" s="37">
        <v>17</v>
      </c>
      <c r="I461" s="36">
        <v>0</v>
      </c>
      <c r="J461">
        <f t="shared" si="28"/>
        <v>17</v>
      </c>
    </row>
    <row r="462" spans="1:10" x14ac:dyDescent="0.3">
      <c r="A462" s="33" t="s">
        <v>43</v>
      </c>
      <c r="B462" s="33" t="s">
        <v>21</v>
      </c>
      <c r="C462" s="33">
        <f>I338</f>
        <v>151</v>
      </c>
      <c r="D462" s="33">
        <f>I339</f>
        <v>107</v>
      </c>
      <c r="E462" s="33">
        <f>I340</f>
        <v>159</v>
      </c>
      <c r="F462" s="33">
        <f>SUM(I338:I340)</f>
        <v>417</v>
      </c>
      <c r="G462" s="33">
        <f>J338</f>
        <v>430</v>
      </c>
      <c r="H462" s="38">
        <v>417</v>
      </c>
      <c r="I462" s="36">
        <v>0</v>
      </c>
      <c r="J462">
        <f t="shared" si="28"/>
        <v>417</v>
      </c>
    </row>
    <row r="463" spans="1:10" x14ac:dyDescent="0.3">
      <c r="A463" s="33" t="s">
        <v>43</v>
      </c>
      <c r="B463" s="33" t="s">
        <v>22</v>
      </c>
      <c r="C463" s="33">
        <f>I341</f>
        <v>89</v>
      </c>
      <c r="D463" s="33">
        <f>I342</f>
        <v>58</v>
      </c>
      <c r="E463" s="33">
        <f>I343</f>
        <v>86</v>
      </c>
      <c r="F463" s="33">
        <f>SUM(I341:I343)</f>
        <v>233</v>
      </c>
      <c r="G463" s="33">
        <f>J341</f>
        <v>249</v>
      </c>
      <c r="H463" s="37">
        <v>243</v>
      </c>
      <c r="I463" s="36">
        <v>0</v>
      </c>
      <c r="J463">
        <f t="shared" si="28"/>
        <v>243</v>
      </c>
    </row>
    <row r="464" spans="1:10" x14ac:dyDescent="0.3">
      <c r="A464" s="33" t="s">
        <v>43</v>
      </c>
      <c r="B464" s="33" t="s">
        <v>25</v>
      </c>
      <c r="C464" s="33">
        <f>I344</f>
        <v>10</v>
      </c>
      <c r="D464" s="33">
        <f>I345</f>
        <v>7</v>
      </c>
      <c r="E464" s="33">
        <f>I346</f>
        <v>10</v>
      </c>
      <c r="F464" s="33">
        <f>SUM(I344:I346)</f>
        <v>27</v>
      </c>
      <c r="G464" s="33">
        <f>J344</f>
        <v>30</v>
      </c>
      <c r="H464" s="38">
        <v>30</v>
      </c>
      <c r="I464" s="36">
        <v>0</v>
      </c>
      <c r="J464">
        <f t="shared" si="28"/>
        <v>30</v>
      </c>
    </row>
  </sheetData>
  <mergeCells count="1">
    <mergeCell ref="A349:H3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2C5FD-E9AC-44A7-9C1F-978276C4FF94}">
  <dimension ref="A1:N116"/>
  <sheetViews>
    <sheetView workbookViewId="0">
      <selection sqref="A1:XFD140"/>
    </sheetView>
  </sheetViews>
  <sheetFormatPr defaultRowHeight="14.4" x14ac:dyDescent="0.3"/>
  <sheetData>
    <row r="1" spans="1:14" x14ac:dyDescent="0.3">
      <c r="A1" s="45" t="s">
        <v>49</v>
      </c>
      <c r="B1" s="46"/>
      <c r="C1" s="46"/>
      <c r="D1" s="46"/>
      <c r="E1" s="46"/>
      <c r="F1" s="46"/>
      <c r="G1" s="46"/>
      <c r="H1" s="46"/>
    </row>
    <row r="2" spans="1:14" ht="24" x14ac:dyDescent="0.3">
      <c r="A2" s="35" t="s">
        <v>0</v>
      </c>
      <c r="B2" s="35" t="s">
        <v>1</v>
      </c>
      <c r="C2" s="35" t="s">
        <v>44</v>
      </c>
      <c r="D2" s="35" t="s">
        <v>45</v>
      </c>
      <c r="E2" s="35" t="s">
        <v>46</v>
      </c>
      <c r="F2" s="35" t="s">
        <v>50</v>
      </c>
      <c r="G2" s="35" t="s">
        <v>51</v>
      </c>
      <c r="N2" t="s">
        <v>56</v>
      </c>
    </row>
    <row r="3" spans="1:14" x14ac:dyDescent="0.3">
      <c r="A3" s="33" t="s">
        <v>14</v>
      </c>
      <c r="B3" s="33" t="s">
        <v>15</v>
      </c>
      <c r="C3" s="33">
        <f>Sheet1!I5</f>
        <v>412</v>
      </c>
      <c r="D3" s="33">
        <f>Sheet1!I6</f>
        <v>286</v>
      </c>
      <c r="E3" s="33">
        <f>Sheet1!I7</f>
        <v>423</v>
      </c>
      <c r="F3" s="33">
        <f>SUM(Sheet1!I5:I7)-Sheet1!D5</f>
        <v>33</v>
      </c>
      <c r="G3" s="33">
        <f>Sheet1!G5</f>
        <v>33</v>
      </c>
    </row>
    <row r="4" spans="1:14" x14ac:dyDescent="0.3">
      <c r="A4" s="33" t="s">
        <v>14</v>
      </c>
      <c r="B4" s="33" t="s">
        <v>19</v>
      </c>
      <c r="C4" s="33">
        <f>Sheet1!I8</f>
        <v>119</v>
      </c>
      <c r="D4" s="33">
        <f>Sheet1!I9</f>
        <v>79</v>
      </c>
      <c r="E4" s="33">
        <f>Sheet1!I10</f>
        <v>116</v>
      </c>
      <c r="F4" s="33">
        <f>SUM(Sheet1!I8:I10)-Sheet1!D8</f>
        <v>6</v>
      </c>
      <c r="G4" s="33">
        <f>Sheet1!G8</f>
        <v>8</v>
      </c>
    </row>
    <row r="5" spans="1:14" x14ac:dyDescent="0.3">
      <c r="A5" s="33" t="s">
        <v>14</v>
      </c>
      <c r="B5" s="33" t="s">
        <v>20</v>
      </c>
      <c r="C5" s="33">
        <f>Sheet1!I11</f>
        <v>27</v>
      </c>
      <c r="D5" s="33">
        <f>Sheet1!I12</f>
        <v>18</v>
      </c>
      <c r="E5" s="33">
        <f>Sheet1!I13</f>
        <v>26</v>
      </c>
      <c r="F5" s="33">
        <f>SUM(Sheet1!I11:I13)-Sheet1!D11</f>
        <v>-9</v>
      </c>
      <c r="G5" s="33">
        <f>Sheet1!G11</f>
        <v>1</v>
      </c>
    </row>
    <row r="6" spans="1:14" x14ac:dyDescent="0.3">
      <c r="A6" s="33" t="s">
        <v>14</v>
      </c>
      <c r="B6" s="33" t="s">
        <v>21</v>
      </c>
      <c r="C6" s="33">
        <f>Sheet1!I14</f>
        <v>135</v>
      </c>
      <c r="D6" s="33">
        <f>Sheet1!I15</f>
        <v>96</v>
      </c>
      <c r="E6" s="33">
        <f>Sheet1!I16</f>
        <v>143</v>
      </c>
      <c r="F6" s="33">
        <f>SUM(Sheet1!I14:I16)-Sheet1!D14</f>
        <v>0</v>
      </c>
      <c r="G6" s="33">
        <f>Sheet1!G14</f>
        <v>11</v>
      </c>
    </row>
    <row r="7" spans="1:14" x14ac:dyDescent="0.3">
      <c r="A7" s="33" t="s">
        <v>14</v>
      </c>
      <c r="B7" s="33" t="s">
        <v>22</v>
      </c>
      <c r="C7" s="33">
        <f>Sheet1!I17</f>
        <v>40</v>
      </c>
      <c r="D7" s="33">
        <f>Sheet1!I18</f>
        <v>27</v>
      </c>
      <c r="E7" s="33">
        <f>Sheet1!I19</f>
        <v>39</v>
      </c>
      <c r="F7" s="33">
        <f>SUM(Sheet1!I17:I19)-Sheet1!D17</f>
        <v>-5</v>
      </c>
      <c r="G7" s="33">
        <f>Sheet1!G17</f>
        <v>3</v>
      </c>
    </row>
    <row r="8" spans="1:14" x14ac:dyDescent="0.3">
      <c r="A8" s="33" t="s">
        <v>14</v>
      </c>
      <c r="B8" s="33" t="s">
        <v>23</v>
      </c>
      <c r="C8" s="33">
        <f>Sheet1!I20</f>
        <v>28</v>
      </c>
      <c r="D8" s="33">
        <f>Sheet1!I21</f>
        <v>18</v>
      </c>
      <c r="E8" s="33">
        <f>Sheet1!I22</f>
        <v>27</v>
      </c>
      <c r="F8" s="33">
        <f>SUM(Sheet1!I20:I22)-Sheet1!D20</f>
        <v>-9</v>
      </c>
      <c r="G8" s="33">
        <f>Sheet1!G20</f>
        <v>2</v>
      </c>
    </row>
    <row r="9" spans="1:14" x14ac:dyDescent="0.3">
      <c r="A9" s="33" t="s">
        <v>24</v>
      </c>
      <c r="B9" s="33" t="s">
        <v>15</v>
      </c>
      <c r="C9" s="33">
        <f>Sheet1!I23</f>
        <v>366</v>
      </c>
      <c r="D9" s="33">
        <f>Sheet1!I24</f>
        <v>275</v>
      </c>
      <c r="E9" s="33">
        <f>Sheet1!I25</f>
        <v>407</v>
      </c>
      <c r="F9" s="33">
        <f>SUM(Sheet1!I23:I25)-Sheet1!D23</f>
        <v>0</v>
      </c>
      <c r="G9" s="33">
        <f>Sheet1!G23</f>
        <v>31</v>
      </c>
    </row>
    <row r="10" spans="1:14" x14ac:dyDescent="0.3">
      <c r="A10" s="33" t="s">
        <v>24</v>
      </c>
      <c r="B10" s="33" t="s">
        <v>19</v>
      </c>
      <c r="C10" s="33">
        <f>Sheet1!I26</f>
        <v>96</v>
      </c>
      <c r="D10" s="33">
        <f>Sheet1!I27</f>
        <v>66</v>
      </c>
      <c r="E10" s="33">
        <f>Sheet1!I28</f>
        <v>98</v>
      </c>
      <c r="F10" s="33">
        <f>SUM(Sheet1!I26:I28)-Sheet1!D26</f>
        <v>0</v>
      </c>
      <c r="G10" s="33">
        <f>Sheet1!G26</f>
        <v>6</v>
      </c>
    </row>
    <row r="11" spans="1:14" x14ac:dyDescent="0.3">
      <c r="A11" s="33" t="s">
        <v>24</v>
      </c>
      <c r="B11" s="33" t="s">
        <v>20</v>
      </c>
      <c r="C11" s="33">
        <f>Sheet1!I29</f>
        <v>39</v>
      </c>
      <c r="D11" s="33">
        <f>Sheet1!I30</f>
        <v>26</v>
      </c>
      <c r="E11" s="33">
        <f>Sheet1!I31</f>
        <v>38</v>
      </c>
      <c r="F11" s="33">
        <f>SUM(Sheet1!I29:I31)-Sheet1!D29</f>
        <v>-15</v>
      </c>
      <c r="G11" s="33">
        <f>Sheet1!G29</f>
        <v>1</v>
      </c>
    </row>
    <row r="12" spans="1:14" x14ac:dyDescent="0.3">
      <c r="A12" s="33" t="s">
        <v>24</v>
      </c>
      <c r="B12" s="33" t="s">
        <v>21</v>
      </c>
      <c r="C12" s="33">
        <f>Sheet1!I32</f>
        <v>129</v>
      </c>
      <c r="D12" s="33">
        <f>Sheet1!I33</f>
        <v>85</v>
      </c>
      <c r="E12" s="33">
        <f>Sheet1!I34</f>
        <v>126</v>
      </c>
      <c r="F12" s="33">
        <f>SUM(Sheet1!I32:I34)-Sheet1!D32</f>
        <v>10</v>
      </c>
      <c r="G12" s="33">
        <f>Sheet1!G32</f>
        <v>10</v>
      </c>
    </row>
    <row r="13" spans="1:14" x14ac:dyDescent="0.3">
      <c r="A13" s="33" t="s">
        <v>24</v>
      </c>
      <c r="B13" s="33" t="s">
        <v>22</v>
      </c>
      <c r="C13" s="33">
        <f>Sheet1!I35</f>
        <v>40</v>
      </c>
      <c r="D13" s="33">
        <f>Sheet1!I36</f>
        <v>27</v>
      </c>
      <c r="E13" s="33">
        <f>Sheet1!I37</f>
        <v>39</v>
      </c>
      <c r="F13" s="33">
        <f>SUM(Sheet1!I35:I37)-Sheet1!D35</f>
        <v>-5</v>
      </c>
      <c r="G13" s="33">
        <f>Sheet1!G35</f>
        <v>3</v>
      </c>
    </row>
    <row r="14" spans="1:14" x14ac:dyDescent="0.3">
      <c r="A14" s="33" t="s">
        <v>24</v>
      </c>
      <c r="B14" s="33" t="s">
        <v>25</v>
      </c>
      <c r="C14" s="33">
        <f>Sheet1!I38</f>
        <v>21</v>
      </c>
      <c r="D14" s="33">
        <f>Sheet1!I39</f>
        <v>14</v>
      </c>
      <c r="E14" s="33">
        <f>Sheet1!I40</f>
        <v>20</v>
      </c>
      <c r="F14" s="33">
        <f>SUM(Sheet1!I38:I40)-Sheet1!D38</f>
        <v>-4</v>
      </c>
      <c r="G14" s="33">
        <f>Sheet1!G38</f>
        <v>1</v>
      </c>
    </row>
    <row r="15" spans="1:14" x14ac:dyDescent="0.3">
      <c r="A15" s="33" t="s">
        <v>26</v>
      </c>
      <c r="B15" s="33" t="s">
        <v>15</v>
      </c>
      <c r="C15" s="33">
        <f>Sheet1!I41</f>
        <v>137</v>
      </c>
      <c r="D15" s="33">
        <f>Sheet1!I42</f>
        <v>94</v>
      </c>
      <c r="E15" s="33">
        <f>Sheet1!I43</f>
        <v>140</v>
      </c>
      <c r="F15" s="33">
        <f>SUM(Sheet1!I41:I43)-Sheet1!D41</f>
        <v>11</v>
      </c>
      <c r="G15" s="33">
        <f>Sheet1!G41</f>
        <v>11</v>
      </c>
    </row>
    <row r="16" spans="1:14" x14ac:dyDescent="0.3">
      <c r="A16" s="33" t="s">
        <v>26</v>
      </c>
      <c r="B16" s="33" t="s">
        <v>19</v>
      </c>
      <c r="C16" s="33">
        <f>Sheet1!I44</f>
        <v>52</v>
      </c>
      <c r="D16" s="33">
        <f>Sheet1!I45</f>
        <v>34</v>
      </c>
      <c r="E16" s="33">
        <f>Sheet1!I46</f>
        <v>51</v>
      </c>
      <c r="F16" s="33">
        <f>SUM(Sheet1!I44:I46)-Sheet1!D44</f>
        <v>3</v>
      </c>
      <c r="G16" s="33">
        <f>Sheet1!G44</f>
        <v>3</v>
      </c>
    </row>
    <row r="17" spans="1:7" x14ac:dyDescent="0.3">
      <c r="A17" s="33" t="s">
        <v>26</v>
      </c>
      <c r="B17" s="33" t="s">
        <v>20</v>
      </c>
      <c r="C17" s="33">
        <f>Sheet1!I47</f>
        <v>6</v>
      </c>
      <c r="D17" s="33">
        <f>Sheet1!I48</f>
        <v>4</v>
      </c>
      <c r="E17" s="33">
        <f>Sheet1!I49</f>
        <v>6</v>
      </c>
      <c r="F17" s="33">
        <f>SUM(Sheet1!I47:I49)-Sheet1!D47</f>
        <v>-2</v>
      </c>
      <c r="G17" s="33">
        <f>Sheet1!G47</f>
        <v>0</v>
      </c>
    </row>
    <row r="18" spans="1:7" x14ac:dyDescent="0.3">
      <c r="A18" s="33" t="s">
        <v>26</v>
      </c>
      <c r="B18" s="33" t="s">
        <v>21</v>
      </c>
      <c r="C18" s="33">
        <f>Sheet1!I50</f>
        <v>159</v>
      </c>
      <c r="D18" s="33">
        <f>Sheet1!I51</f>
        <v>104</v>
      </c>
      <c r="E18" s="33">
        <f>Sheet1!I52</f>
        <v>154</v>
      </c>
      <c r="F18" s="33">
        <f>SUM(Sheet1!I50:I52)-Sheet1!D50</f>
        <v>12</v>
      </c>
      <c r="G18" s="33">
        <f>Sheet1!G50</f>
        <v>12</v>
      </c>
    </row>
    <row r="19" spans="1:7" x14ac:dyDescent="0.3">
      <c r="A19" s="33" t="s">
        <v>26</v>
      </c>
      <c r="B19" s="33" t="s">
        <v>22</v>
      </c>
      <c r="C19" s="33">
        <f>Sheet1!I53</f>
        <v>89</v>
      </c>
      <c r="D19" s="33">
        <f>Sheet1!I54</f>
        <v>58</v>
      </c>
      <c r="E19" s="33">
        <f>Sheet1!I55</f>
        <v>86</v>
      </c>
      <c r="F19" s="33">
        <f>SUM(Sheet1!I53:I55)-Sheet1!D53</f>
        <v>-10</v>
      </c>
      <c r="G19" s="33">
        <f>Sheet1!G53</f>
        <v>6</v>
      </c>
    </row>
    <row r="20" spans="1:7" x14ac:dyDescent="0.3">
      <c r="A20" s="33" t="s">
        <v>26</v>
      </c>
      <c r="B20" s="33" t="s">
        <v>25</v>
      </c>
      <c r="C20" s="33">
        <f>Sheet1!I56</f>
        <v>10</v>
      </c>
      <c r="D20" s="33">
        <f>Sheet1!I57</f>
        <v>7</v>
      </c>
      <c r="E20" s="33">
        <f>Sheet1!I58</f>
        <v>10</v>
      </c>
      <c r="F20" s="33">
        <f>SUM(Sheet1!I56:I58)-Sheet1!D56</f>
        <v>-3</v>
      </c>
      <c r="G20" s="33">
        <f>Sheet1!G56</f>
        <v>0</v>
      </c>
    </row>
    <row r="21" spans="1:7" x14ac:dyDescent="0.3">
      <c r="A21" s="33" t="s">
        <v>27</v>
      </c>
      <c r="B21" s="33" t="s">
        <v>15</v>
      </c>
      <c r="C21" s="33">
        <f>Sheet1!I59</f>
        <v>358</v>
      </c>
      <c r="D21" s="33">
        <f>Sheet1!I60</f>
        <v>248</v>
      </c>
      <c r="E21" s="33">
        <f>Sheet1!I61</f>
        <v>368</v>
      </c>
      <c r="F21" s="33">
        <f>SUM(Sheet1!I59:I61)-Sheet1!D59</f>
        <v>28</v>
      </c>
      <c r="G21" s="33">
        <f>Sheet1!G59</f>
        <v>28</v>
      </c>
    </row>
    <row r="22" spans="1:7" ht="22.8" x14ac:dyDescent="0.3">
      <c r="A22" s="33" t="s">
        <v>27</v>
      </c>
      <c r="B22" s="33" t="s">
        <v>19</v>
      </c>
      <c r="C22" s="33">
        <f>Sheet1!I62</f>
        <v>19</v>
      </c>
      <c r="D22" s="33">
        <f>Sheet1!I63</f>
        <v>12</v>
      </c>
      <c r="E22" s="33">
        <f>Sheet1!I64</f>
        <v>18</v>
      </c>
      <c r="F22" s="33">
        <f>SUM(Sheet1!I62:I64)-Sheet1!D62</f>
        <v>1</v>
      </c>
      <c r="G22" s="33">
        <f>Sheet1!G62</f>
        <v>1</v>
      </c>
    </row>
    <row r="23" spans="1:7" x14ac:dyDescent="0.3">
      <c r="A23" s="33" t="s">
        <v>27</v>
      </c>
      <c r="B23" s="33" t="s">
        <v>20</v>
      </c>
      <c r="C23" s="33">
        <f>Sheet1!I65</f>
        <v>36</v>
      </c>
      <c r="D23" s="33">
        <f>Sheet1!I66</f>
        <v>24</v>
      </c>
      <c r="E23" s="33">
        <f>Sheet1!I67</f>
        <v>35</v>
      </c>
      <c r="F23" s="33">
        <f>SUM(Sheet1!I65:I67)-Sheet1!D65</f>
        <v>-12</v>
      </c>
      <c r="G23" s="33">
        <f>Sheet1!G65</f>
        <v>1</v>
      </c>
    </row>
    <row r="24" spans="1:7" x14ac:dyDescent="0.3">
      <c r="A24" s="33" t="s">
        <v>27</v>
      </c>
      <c r="B24" s="33" t="s">
        <v>21</v>
      </c>
      <c r="C24" s="33">
        <f>Sheet1!I68</f>
        <v>98</v>
      </c>
      <c r="D24" s="33">
        <f>Sheet1!I69</f>
        <v>70</v>
      </c>
      <c r="E24" s="33">
        <f>Sheet1!I70</f>
        <v>104</v>
      </c>
      <c r="F24" s="33">
        <f>SUM(Sheet1!I68:I70)-Sheet1!D68</f>
        <v>0</v>
      </c>
      <c r="G24" s="33">
        <f>Sheet1!G68</f>
        <v>8</v>
      </c>
    </row>
    <row r="25" spans="1:7" x14ac:dyDescent="0.3">
      <c r="A25" s="33" t="s">
        <v>27</v>
      </c>
      <c r="B25" s="33" t="s">
        <v>22</v>
      </c>
      <c r="C25" s="33">
        <f>Sheet1!I71</f>
        <v>45</v>
      </c>
      <c r="D25" s="33">
        <f>Sheet1!I72</f>
        <v>30</v>
      </c>
      <c r="E25" s="33">
        <f>Sheet1!I73</f>
        <v>44</v>
      </c>
      <c r="F25" s="33">
        <f>SUM(Sheet1!I71:I73)-Sheet1!D71</f>
        <v>-5</v>
      </c>
      <c r="G25" s="33">
        <f>Sheet1!G71</f>
        <v>3</v>
      </c>
    </row>
    <row r="26" spans="1:7" x14ac:dyDescent="0.3">
      <c r="A26" s="33" t="s">
        <v>27</v>
      </c>
      <c r="B26" s="33" t="s">
        <v>23</v>
      </c>
      <c r="C26" s="33">
        <f>Sheet1!I74</f>
        <v>25</v>
      </c>
      <c r="D26" s="33">
        <f>Sheet1!I75</f>
        <v>16</v>
      </c>
      <c r="E26" s="33">
        <f>Sheet1!I76</f>
        <v>24</v>
      </c>
      <c r="F26" s="33">
        <f>SUM(Sheet1!I74:I76)-Sheet1!D74</f>
        <v>-8</v>
      </c>
      <c r="G26" s="33">
        <f>Sheet1!G74</f>
        <v>1</v>
      </c>
    </row>
    <row r="27" spans="1:7" x14ac:dyDescent="0.3">
      <c r="A27" s="33" t="s">
        <v>27</v>
      </c>
      <c r="B27" s="33" t="s">
        <v>25</v>
      </c>
      <c r="C27" s="33">
        <f>Sheet1!I77</f>
        <v>13</v>
      </c>
      <c r="D27" s="33">
        <f>Sheet1!I78</f>
        <v>8</v>
      </c>
      <c r="E27" s="33">
        <f>Sheet1!I79</f>
        <v>12</v>
      </c>
      <c r="F27" s="33">
        <f>SUM(Sheet1!I77:I79)-Sheet1!D77</f>
        <v>-3</v>
      </c>
      <c r="G27" s="33">
        <f>Sheet1!G77</f>
        <v>1</v>
      </c>
    </row>
    <row r="28" spans="1:7" x14ac:dyDescent="0.3">
      <c r="A28" s="33" t="s">
        <v>28</v>
      </c>
      <c r="B28" s="33" t="s">
        <v>15</v>
      </c>
      <c r="C28" s="33">
        <f>Sheet1!I80</f>
        <v>126</v>
      </c>
      <c r="D28" s="33">
        <f>Sheet1!I81</f>
        <v>94</v>
      </c>
      <c r="E28" s="33">
        <f>Sheet1!I82</f>
        <v>140</v>
      </c>
      <c r="F28" s="33">
        <f>SUM(Sheet1!I80:I82)-Sheet1!D80</f>
        <v>0</v>
      </c>
      <c r="G28" s="33">
        <f>Sheet1!G80</f>
        <v>11</v>
      </c>
    </row>
    <row r="29" spans="1:7" ht="22.8" x14ac:dyDescent="0.3">
      <c r="A29" s="33" t="s">
        <v>28</v>
      </c>
      <c r="B29" s="33" t="s">
        <v>19</v>
      </c>
      <c r="C29" s="33">
        <f>Sheet1!I83</f>
        <v>49</v>
      </c>
      <c r="D29" s="33">
        <f>Sheet1!I84</f>
        <v>34</v>
      </c>
      <c r="E29" s="33">
        <f>Sheet1!I85</f>
        <v>51</v>
      </c>
      <c r="F29" s="33">
        <f>SUM(Sheet1!I83:I85)-Sheet1!D83</f>
        <v>0</v>
      </c>
      <c r="G29" s="33">
        <f>Sheet1!G83</f>
        <v>3</v>
      </c>
    </row>
    <row r="30" spans="1:7" x14ac:dyDescent="0.3">
      <c r="A30" s="33" t="s">
        <v>28</v>
      </c>
      <c r="B30" s="33" t="s">
        <v>20</v>
      </c>
      <c r="C30" s="33">
        <f>Sheet1!I86</f>
        <v>6</v>
      </c>
      <c r="D30" s="33">
        <f>Sheet1!I87</f>
        <v>4</v>
      </c>
      <c r="E30" s="33">
        <f>Sheet1!I88</f>
        <v>6</v>
      </c>
      <c r="F30" s="33">
        <f>SUM(Sheet1!I86:I88)-Sheet1!D86</f>
        <v>-2</v>
      </c>
      <c r="G30" s="33">
        <f>Sheet1!G86</f>
        <v>0</v>
      </c>
    </row>
    <row r="31" spans="1:7" x14ac:dyDescent="0.3">
      <c r="A31" s="33" t="s">
        <v>28</v>
      </c>
      <c r="B31" s="33" t="s">
        <v>21</v>
      </c>
      <c r="C31" s="33">
        <f>Sheet1!I89</f>
        <v>161</v>
      </c>
      <c r="D31" s="33">
        <f>Sheet1!I90</f>
        <v>106</v>
      </c>
      <c r="E31" s="33">
        <f>Sheet1!I91</f>
        <v>157</v>
      </c>
      <c r="F31" s="33">
        <f>SUM(Sheet1!I89:I91)-Sheet1!D89</f>
        <v>12</v>
      </c>
      <c r="G31" s="33">
        <f>Sheet1!G89</f>
        <v>12</v>
      </c>
    </row>
    <row r="32" spans="1:7" x14ac:dyDescent="0.3">
      <c r="A32" s="33" t="s">
        <v>28</v>
      </c>
      <c r="B32" s="33" t="s">
        <v>22</v>
      </c>
      <c r="C32" s="33">
        <f>Sheet1!I92</f>
        <v>89</v>
      </c>
      <c r="D32" s="33">
        <f>Sheet1!I93</f>
        <v>58</v>
      </c>
      <c r="E32" s="33">
        <f>Sheet1!I94</f>
        <v>86</v>
      </c>
      <c r="F32" s="33">
        <f>SUM(Sheet1!I92:I94)-Sheet1!D92</f>
        <v>-10</v>
      </c>
      <c r="G32" s="33">
        <f>Sheet1!G92</f>
        <v>6</v>
      </c>
    </row>
    <row r="33" spans="1:7" x14ac:dyDescent="0.3">
      <c r="A33" s="33" t="s">
        <v>28</v>
      </c>
      <c r="B33" s="33" t="s">
        <v>25</v>
      </c>
      <c r="C33" s="33">
        <f>Sheet1!I95</f>
        <v>10</v>
      </c>
      <c r="D33" s="33">
        <f>Sheet1!I96</f>
        <v>7</v>
      </c>
      <c r="E33" s="33">
        <f>Sheet1!I97</f>
        <v>10</v>
      </c>
      <c r="F33" s="33">
        <f>SUM(Sheet1!I95:I97)-Sheet1!D95</f>
        <v>-3</v>
      </c>
      <c r="G33" s="33">
        <f>Sheet1!G95</f>
        <v>0</v>
      </c>
    </row>
    <row r="34" spans="1:7" x14ac:dyDescent="0.3">
      <c r="A34" s="33" t="s">
        <v>29</v>
      </c>
      <c r="B34" s="33" t="s">
        <v>15</v>
      </c>
      <c r="C34" s="33">
        <f>Sheet1!I98</f>
        <v>93</v>
      </c>
      <c r="D34" s="33">
        <f>Sheet1!I99</f>
        <v>64</v>
      </c>
      <c r="E34" s="33">
        <f>Sheet1!I100</f>
        <v>95</v>
      </c>
      <c r="F34" s="33">
        <f>SUM(Sheet1!I98:I100)-Sheet1!D98</f>
        <v>7</v>
      </c>
      <c r="G34" s="33">
        <f>Sheet1!G98</f>
        <v>7</v>
      </c>
    </row>
    <row r="35" spans="1:7" x14ac:dyDescent="0.3">
      <c r="A35" s="33" t="s">
        <v>29</v>
      </c>
      <c r="B35" s="33" t="s">
        <v>21</v>
      </c>
      <c r="C35" s="33">
        <f>Sheet1!I101</f>
        <v>156</v>
      </c>
      <c r="D35" s="33">
        <f>Sheet1!I102</f>
        <v>110</v>
      </c>
      <c r="E35" s="33">
        <f>Sheet1!I103</f>
        <v>163</v>
      </c>
      <c r="F35" s="33">
        <f>SUM(Sheet1!I101:I103)-Sheet1!D101</f>
        <v>0</v>
      </c>
      <c r="G35" s="33">
        <f>Sheet1!G101</f>
        <v>13</v>
      </c>
    </row>
    <row r="36" spans="1:7" x14ac:dyDescent="0.3">
      <c r="A36" s="33" t="s">
        <v>29</v>
      </c>
      <c r="B36" s="33" t="s">
        <v>22</v>
      </c>
      <c r="C36" s="33">
        <f>Sheet1!I104</f>
        <v>114</v>
      </c>
      <c r="D36" s="33">
        <f>Sheet1!I105</f>
        <v>75</v>
      </c>
      <c r="E36" s="33">
        <f>Sheet1!I106</f>
        <v>111</v>
      </c>
      <c r="F36" s="33">
        <f>SUM(Sheet1!I104:I106)-Sheet1!D104</f>
        <v>-13</v>
      </c>
      <c r="G36" s="33">
        <f>Sheet1!G104</f>
        <v>8</v>
      </c>
    </row>
    <row r="37" spans="1:7" x14ac:dyDescent="0.3">
      <c r="A37" s="33" t="s">
        <v>29</v>
      </c>
      <c r="B37" s="33" t="s">
        <v>25</v>
      </c>
      <c r="C37" s="33">
        <f>Sheet1!I107</f>
        <v>5</v>
      </c>
      <c r="D37" s="33">
        <f>Sheet1!I108</f>
        <v>3</v>
      </c>
      <c r="E37" s="33">
        <f>Sheet1!I109</f>
        <v>5</v>
      </c>
      <c r="F37" s="33">
        <f>SUM(Sheet1!I107:I109)-Sheet1!D107</f>
        <v>-2</v>
      </c>
      <c r="G37" s="33">
        <f>Sheet1!G107</f>
        <v>0</v>
      </c>
    </row>
    <row r="38" spans="1:7" x14ac:dyDescent="0.3">
      <c r="A38" s="33" t="s">
        <v>30</v>
      </c>
      <c r="B38" s="33" t="s">
        <v>15</v>
      </c>
      <c r="C38" s="33">
        <f>Sheet1!I110</f>
        <v>136</v>
      </c>
      <c r="D38" s="33">
        <f>Sheet1!I111</f>
        <v>102</v>
      </c>
      <c r="E38" s="33">
        <f>Sheet1!I112</f>
        <v>152</v>
      </c>
      <c r="F38" s="33">
        <f>SUM(Sheet1!I110:I112)-Sheet1!D110</f>
        <v>0</v>
      </c>
      <c r="G38" s="33">
        <f>Sheet1!G110</f>
        <v>12</v>
      </c>
    </row>
    <row r="39" spans="1:7" x14ac:dyDescent="0.3">
      <c r="A39" s="33" t="s">
        <v>30</v>
      </c>
      <c r="B39" s="33" t="s">
        <v>21</v>
      </c>
      <c r="C39" s="33">
        <f>Sheet1!I113</f>
        <v>143</v>
      </c>
      <c r="D39" s="33">
        <f>Sheet1!I114</f>
        <v>101</v>
      </c>
      <c r="E39" s="33">
        <f>Sheet1!I115</f>
        <v>150</v>
      </c>
      <c r="F39" s="33">
        <f>SUM(Sheet1!I113:I115)-Sheet1!D113</f>
        <v>0</v>
      </c>
      <c r="G39" s="33">
        <f>Sheet1!G113</f>
        <v>12</v>
      </c>
    </row>
    <row r="40" spans="1:7" x14ac:dyDescent="0.3">
      <c r="A40" s="33" t="s">
        <v>30</v>
      </c>
      <c r="B40" s="33" t="s">
        <v>22</v>
      </c>
      <c r="C40" s="33">
        <f>Sheet1!I116</f>
        <v>81</v>
      </c>
      <c r="D40" s="33">
        <f>Sheet1!I117</f>
        <v>54</v>
      </c>
      <c r="E40" s="33">
        <f>Sheet1!I118</f>
        <v>79</v>
      </c>
      <c r="F40" s="33">
        <f>SUM(Sheet1!I116:I118)-Sheet1!D116</f>
        <v>-9</v>
      </c>
      <c r="G40" s="33">
        <f>Sheet1!G116</f>
        <v>6</v>
      </c>
    </row>
    <row r="41" spans="1:7" x14ac:dyDescent="0.3">
      <c r="A41" s="33" t="s">
        <v>30</v>
      </c>
      <c r="B41" s="33" t="s">
        <v>25</v>
      </c>
      <c r="C41" s="33">
        <f>Sheet1!I119</f>
        <v>6</v>
      </c>
      <c r="D41" s="33">
        <f>Sheet1!I120</f>
        <v>4</v>
      </c>
      <c r="E41" s="33">
        <f>Sheet1!I121</f>
        <v>6</v>
      </c>
      <c r="F41" s="33">
        <f>SUM(Sheet1!I119:I121)-Sheet1!D119</f>
        <v>-2</v>
      </c>
      <c r="G41" s="33">
        <f>Sheet1!G119</f>
        <v>0</v>
      </c>
    </row>
    <row r="42" spans="1:7" x14ac:dyDescent="0.3">
      <c r="A42" s="33" t="s">
        <v>31</v>
      </c>
      <c r="B42" s="33" t="s">
        <v>15</v>
      </c>
      <c r="C42" s="33">
        <f>Sheet1!I122</f>
        <v>128</v>
      </c>
      <c r="D42" s="33">
        <f>Sheet1!I123</f>
        <v>97</v>
      </c>
      <c r="E42" s="33">
        <f>Sheet1!I124</f>
        <v>143</v>
      </c>
      <c r="F42" s="33">
        <f>SUM(Sheet1!I122:I124)-Sheet1!D122</f>
        <v>0</v>
      </c>
      <c r="G42" s="33">
        <f>Sheet1!G122</f>
        <v>11</v>
      </c>
    </row>
    <row r="43" spans="1:7" ht="22.8" x14ac:dyDescent="0.3">
      <c r="A43" s="33" t="s">
        <v>31</v>
      </c>
      <c r="B43" s="33" t="s">
        <v>19</v>
      </c>
      <c r="C43" s="33">
        <f>Sheet1!I125</f>
        <v>40</v>
      </c>
      <c r="D43" s="33">
        <f>Sheet1!I126</f>
        <v>27</v>
      </c>
      <c r="E43" s="33">
        <f>Sheet1!I127</f>
        <v>40</v>
      </c>
      <c r="F43" s="33">
        <f>SUM(Sheet1!I125:I127)-Sheet1!D125</f>
        <v>0</v>
      </c>
      <c r="G43" s="33">
        <f>Sheet1!G125</f>
        <v>3</v>
      </c>
    </row>
    <row r="44" spans="1:7" x14ac:dyDescent="0.3">
      <c r="A44" s="33" t="s">
        <v>31</v>
      </c>
      <c r="B44" s="33" t="s">
        <v>21</v>
      </c>
      <c r="C44" s="33">
        <f>Sheet1!I128</f>
        <v>139</v>
      </c>
      <c r="D44" s="33">
        <f>Sheet1!I129</f>
        <v>99</v>
      </c>
      <c r="E44" s="33">
        <f>Sheet1!I130</f>
        <v>147</v>
      </c>
      <c r="F44" s="33">
        <f>SUM(Sheet1!I128:I130)-Sheet1!D128</f>
        <v>0</v>
      </c>
      <c r="G44" s="33">
        <f>Sheet1!G128</f>
        <v>12</v>
      </c>
    </row>
    <row r="45" spans="1:7" x14ac:dyDescent="0.3">
      <c r="A45" s="33" t="s">
        <v>31</v>
      </c>
      <c r="B45" s="33" t="s">
        <v>22</v>
      </c>
      <c r="C45" s="33">
        <f>Sheet1!I131</f>
        <v>91</v>
      </c>
      <c r="D45" s="33">
        <f>Sheet1!I132</f>
        <v>60</v>
      </c>
      <c r="E45" s="33">
        <f>Sheet1!I133</f>
        <v>89</v>
      </c>
      <c r="F45" s="33">
        <f>SUM(Sheet1!I131:I133)-Sheet1!D131</f>
        <v>-10</v>
      </c>
      <c r="G45" s="33">
        <f>Sheet1!G131</f>
        <v>6</v>
      </c>
    </row>
    <row r="46" spans="1:7" x14ac:dyDescent="0.3">
      <c r="A46" s="33" t="s">
        <v>31</v>
      </c>
      <c r="B46" s="33" t="s">
        <v>25</v>
      </c>
      <c r="C46" s="33">
        <f>Sheet1!I134</f>
        <v>22</v>
      </c>
      <c r="D46" s="33">
        <f>Sheet1!I135</f>
        <v>15</v>
      </c>
      <c r="E46" s="33">
        <f>Sheet1!I136</f>
        <v>22</v>
      </c>
      <c r="F46" s="33">
        <f>SUM(Sheet1!I134:I136)-Sheet1!D134</f>
        <v>-5</v>
      </c>
      <c r="G46" s="33">
        <f>Sheet1!G134</f>
        <v>1</v>
      </c>
    </row>
    <row r="47" spans="1:7" x14ac:dyDescent="0.3">
      <c r="A47" s="33" t="s">
        <v>32</v>
      </c>
      <c r="B47" s="33" t="s">
        <v>15</v>
      </c>
      <c r="C47" s="33">
        <f>Sheet1!I137</f>
        <v>132</v>
      </c>
      <c r="D47" s="33">
        <f>Sheet1!I138</f>
        <v>100</v>
      </c>
      <c r="E47" s="33">
        <f>Sheet1!I139</f>
        <v>148</v>
      </c>
      <c r="F47" s="33">
        <f>SUM(Sheet1!I137:I139)-Sheet1!D137</f>
        <v>0</v>
      </c>
      <c r="G47" s="33">
        <f>Sheet1!G137</f>
        <v>11</v>
      </c>
    </row>
    <row r="48" spans="1:7" ht="22.8" x14ac:dyDescent="0.3">
      <c r="A48" s="33" t="s">
        <v>32</v>
      </c>
      <c r="B48" s="33" t="s">
        <v>19</v>
      </c>
      <c r="C48" s="33">
        <f>Sheet1!I140</f>
        <v>12</v>
      </c>
      <c r="D48" s="33">
        <f>Sheet1!I141</f>
        <v>8</v>
      </c>
      <c r="E48" s="33">
        <f>Sheet1!I142</f>
        <v>12</v>
      </c>
      <c r="F48" s="33">
        <f>SUM(Sheet1!I140:I142)-Sheet1!D140</f>
        <v>0</v>
      </c>
      <c r="G48" s="33">
        <f>Sheet1!G140</f>
        <v>1</v>
      </c>
    </row>
    <row r="49" spans="1:7" x14ac:dyDescent="0.3">
      <c r="A49" s="33" t="s">
        <v>32</v>
      </c>
      <c r="B49" s="33" t="s">
        <v>21</v>
      </c>
      <c r="C49" s="33">
        <f>Sheet1!I143</f>
        <v>115</v>
      </c>
      <c r="D49" s="33">
        <f>Sheet1!I144</f>
        <v>75</v>
      </c>
      <c r="E49" s="33">
        <f>Sheet1!I145</f>
        <v>112</v>
      </c>
      <c r="F49" s="33">
        <f>SUM(Sheet1!I143:I145)-Sheet1!D143</f>
        <v>9</v>
      </c>
      <c r="G49" s="33">
        <f>Sheet1!G143</f>
        <v>9</v>
      </c>
    </row>
    <row r="50" spans="1:7" x14ac:dyDescent="0.3">
      <c r="A50" s="33" t="s">
        <v>32</v>
      </c>
      <c r="B50" s="33" t="s">
        <v>22</v>
      </c>
      <c r="C50" s="33">
        <f>Sheet1!I146</f>
        <v>89</v>
      </c>
      <c r="D50" s="33">
        <f>Sheet1!I147</f>
        <v>58</v>
      </c>
      <c r="E50" s="33">
        <f>Sheet1!I148</f>
        <v>86</v>
      </c>
      <c r="F50" s="33">
        <f>SUM(Sheet1!I146:I148)-Sheet1!D146</f>
        <v>-10</v>
      </c>
      <c r="G50" s="33">
        <f>Sheet1!G146</f>
        <v>6</v>
      </c>
    </row>
    <row r="51" spans="1:7" x14ac:dyDescent="0.3">
      <c r="A51" s="33" t="s">
        <v>32</v>
      </c>
      <c r="B51" s="33" t="s">
        <v>25</v>
      </c>
      <c r="C51" s="33">
        <f>Sheet1!I149</f>
        <v>7</v>
      </c>
      <c r="D51" s="33">
        <f>Sheet1!I150</f>
        <v>5</v>
      </c>
      <c r="E51" s="33">
        <f>Sheet1!I151</f>
        <v>7</v>
      </c>
      <c r="F51" s="33">
        <f>SUM(Sheet1!I149:I151)-Sheet1!D149</f>
        <v>-1</v>
      </c>
      <c r="G51" s="33">
        <f>Sheet1!G149</f>
        <v>0</v>
      </c>
    </row>
    <row r="52" spans="1:7" x14ac:dyDescent="0.3">
      <c r="A52" s="33" t="s">
        <v>33</v>
      </c>
      <c r="B52" s="33" t="s">
        <v>15</v>
      </c>
      <c r="C52" s="33">
        <f>Sheet1!I152</f>
        <v>357</v>
      </c>
      <c r="D52" s="33">
        <f>Sheet1!I153</f>
        <v>248</v>
      </c>
      <c r="E52" s="33">
        <f>Sheet1!I154</f>
        <v>366</v>
      </c>
      <c r="F52" s="33">
        <f>SUM(Sheet1!I152:I154)-Sheet1!D152</f>
        <v>28</v>
      </c>
      <c r="G52" s="33">
        <f>Sheet1!G152</f>
        <v>28</v>
      </c>
    </row>
    <row r="53" spans="1:7" ht="22.8" x14ac:dyDescent="0.3">
      <c r="A53" s="33" t="s">
        <v>33</v>
      </c>
      <c r="B53" s="33" t="s">
        <v>19</v>
      </c>
      <c r="C53" s="33">
        <f>Sheet1!I155</f>
        <v>19</v>
      </c>
      <c r="D53" s="33">
        <f>Sheet1!I156</f>
        <v>12</v>
      </c>
      <c r="E53" s="33">
        <f>Sheet1!I157</f>
        <v>18</v>
      </c>
      <c r="F53" s="33">
        <f>SUM(Sheet1!I155:I157)-Sheet1!D155</f>
        <v>1</v>
      </c>
      <c r="G53" s="33">
        <f>Sheet1!G155</f>
        <v>1</v>
      </c>
    </row>
    <row r="54" spans="1:7" x14ac:dyDescent="0.3">
      <c r="A54" s="33" t="s">
        <v>33</v>
      </c>
      <c r="B54" s="33" t="s">
        <v>20</v>
      </c>
      <c r="C54" s="33">
        <f>Sheet1!I158</f>
        <v>36</v>
      </c>
      <c r="D54" s="33">
        <f>Sheet1!I159</f>
        <v>24</v>
      </c>
      <c r="E54" s="33">
        <f>Sheet1!I160</f>
        <v>35</v>
      </c>
      <c r="F54" s="33">
        <f>SUM(Sheet1!I158:I160)-Sheet1!D158</f>
        <v>-12</v>
      </c>
      <c r="G54" s="33">
        <f>Sheet1!G158</f>
        <v>1</v>
      </c>
    </row>
    <row r="55" spans="1:7" x14ac:dyDescent="0.3">
      <c r="A55" s="33" t="s">
        <v>33</v>
      </c>
      <c r="B55" s="33" t="s">
        <v>21</v>
      </c>
      <c r="C55" s="33">
        <f>Sheet1!I161</f>
        <v>98</v>
      </c>
      <c r="D55" s="33">
        <f>Sheet1!I162</f>
        <v>70</v>
      </c>
      <c r="E55" s="33">
        <f>Sheet1!I163</f>
        <v>104</v>
      </c>
      <c r="F55" s="33">
        <f>SUM(Sheet1!I161:I163)-Sheet1!D161</f>
        <v>0</v>
      </c>
      <c r="G55" s="33">
        <f>Sheet1!G161</f>
        <v>8</v>
      </c>
    </row>
    <row r="56" spans="1:7" x14ac:dyDescent="0.3">
      <c r="A56" s="33" t="s">
        <v>33</v>
      </c>
      <c r="B56" s="33" t="s">
        <v>22</v>
      </c>
      <c r="C56" s="33">
        <f>Sheet1!I164</f>
        <v>46</v>
      </c>
      <c r="D56" s="33">
        <f>Sheet1!I165</f>
        <v>30</v>
      </c>
      <c r="E56" s="33">
        <f>Sheet1!I166</f>
        <v>45</v>
      </c>
      <c r="F56" s="33">
        <f>SUM(Sheet1!I164:I166)-Sheet1!D164</f>
        <v>-6</v>
      </c>
      <c r="G56" s="33">
        <f>Sheet1!G164</f>
        <v>3</v>
      </c>
    </row>
    <row r="57" spans="1:7" x14ac:dyDescent="0.3">
      <c r="A57" s="33" t="s">
        <v>33</v>
      </c>
      <c r="B57" s="33" t="s">
        <v>23</v>
      </c>
      <c r="C57" s="33">
        <f>Sheet1!I167</f>
        <v>25</v>
      </c>
      <c r="D57" s="33">
        <f>Sheet1!I168</f>
        <v>16</v>
      </c>
      <c r="E57" s="33">
        <f>Sheet1!I169</f>
        <v>24</v>
      </c>
      <c r="F57" s="33">
        <f>SUM(Sheet1!I167:I169)-Sheet1!D167</f>
        <v>-8</v>
      </c>
      <c r="G57" s="33">
        <f>Sheet1!G167</f>
        <v>1</v>
      </c>
    </row>
    <row r="58" spans="1:7" x14ac:dyDescent="0.3">
      <c r="A58" s="33" t="s">
        <v>33</v>
      </c>
      <c r="B58" s="33" t="s">
        <v>25</v>
      </c>
      <c r="C58" s="33">
        <f>Sheet1!I170</f>
        <v>13</v>
      </c>
      <c r="D58" s="33">
        <f>Sheet1!I171</f>
        <v>8</v>
      </c>
      <c r="E58" s="33">
        <f>Sheet1!I172</f>
        <v>12</v>
      </c>
      <c r="F58" s="33">
        <f>SUM(Sheet1!I170:I172)-Sheet1!D170</f>
        <v>-3</v>
      </c>
      <c r="G58" s="33">
        <f>Sheet1!G170</f>
        <v>1</v>
      </c>
    </row>
    <row r="59" spans="1:7" x14ac:dyDescent="0.3">
      <c r="A59" s="33" t="s">
        <v>34</v>
      </c>
      <c r="B59" s="33" t="s">
        <v>15</v>
      </c>
      <c r="C59" s="33">
        <f>Sheet1!I173</f>
        <v>232</v>
      </c>
      <c r="D59" s="33">
        <f>Sheet1!I174</f>
        <v>161</v>
      </c>
      <c r="E59" s="33">
        <f>Sheet1!I175</f>
        <v>238</v>
      </c>
      <c r="F59" s="33">
        <f>SUM(Sheet1!I173:I175)-Sheet1!D173</f>
        <v>18</v>
      </c>
      <c r="G59" s="33">
        <f>Sheet1!G173</f>
        <v>18</v>
      </c>
    </row>
    <row r="60" spans="1:7" x14ac:dyDescent="0.3">
      <c r="A60" s="33" t="s">
        <v>34</v>
      </c>
      <c r="B60" s="33" t="s">
        <v>21</v>
      </c>
      <c r="C60" s="33">
        <f>Sheet1!I176</f>
        <v>81</v>
      </c>
      <c r="D60" s="33">
        <f>Sheet1!I177</f>
        <v>58</v>
      </c>
      <c r="E60" s="33">
        <f>Sheet1!I178</f>
        <v>85</v>
      </c>
      <c r="F60" s="33">
        <f>SUM(Sheet1!I176:I178)-Sheet1!D176</f>
        <v>0</v>
      </c>
      <c r="G60" s="33">
        <f>Sheet1!G176</f>
        <v>7</v>
      </c>
    </row>
    <row r="61" spans="1:7" x14ac:dyDescent="0.3">
      <c r="A61" s="33" t="s">
        <v>34</v>
      </c>
      <c r="B61" s="33" t="s">
        <v>22</v>
      </c>
      <c r="C61" s="33">
        <f>Sheet1!I179</f>
        <v>65</v>
      </c>
      <c r="D61" s="33">
        <f>Sheet1!I180</f>
        <v>43</v>
      </c>
      <c r="E61" s="33">
        <f>Sheet1!I181</f>
        <v>63</v>
      </c>
      <c r="F61" s="33">
        <f>SUM(Sheet1!I179:I181)-Sheet1!D179</f>
        <v>-7</v>
      </c>
      <c r="G61" s="33">
        <f>Sheet1!G179</f>
        <v>4</v>
      </c>
    </row>
    <row r="62" spans="1:7" x14ac:dyDescent="0.3">
      <c r="A62" s="33" t="s">
        <v>34</v>
      </c>
      <c r="B62" s="33" t="s">
        <v>23</v>
      </c>
      <c r="C62" s="33">
        <f>Sheet1!I182</f>
        <v>1</v>
      </c>
      <c r="D62" s="33">
        <f>Sheet1!I183</f>
        <v>1</v>
      </c>
      <c r="E62" s="33">
        <f>Sheet1!I184</f>
        <v>1</v>
      </c>
      <c r="F62" s="33">
        <f>SUM(Sheet1!I182:I184)-Sheet1!D182</f>
        <v>-1</v>
      </c>
      <c r="G62" s="33">
        <f>Sheet1!G182</f>
        <v>0</v>
      </c>
    </row>
    <row r="63" spans="1:7" x14ac:dyDescent="0.3">
      <c r="A63" s="33" t="s">
        <v>34</v>
      </c>
      <c r="B63" s="33" t="s">
        <v>25</v>
      </c>
      <c r="C63" s="33">
        <f>Sheet1!I185</f>
        <v>27</v>
      </c>
      <c r="D63" s="33">
        <f>Sheet1!I186</f>
        <v>17</v>
      </c>
      <c r="E63" s="33">
        <f>Sheet1!I187</f>
        <v>26</v>
      </c>
      <c r="F63" s="33">
        <f>SUM(Sheet1!I185:I187)-Sheet1!D185</f>
        <v>-6</v>
      </c>
      <c r="G63" s="33">
        <f>Sheet1!G185</f>
        <v>1</v>
      </c>
    </row>
    <row r="64" spans="1:7" x14ac:dyDescent="0.3">
      <c r="A64" s="33" t="s">
        <v>35</v>
      </c>
      <c r="B64" s="33" t="s">
        <v>15</v>
      </c>
      <c r="C64" s="33">
        <f>Sheet1!I188</f>
        <v>348</v>
      </c>
      <c r="D64" s="33">
        <f>Sheet1!I189</f>
        <v>262</v>
      </c>
      <c r="E64" s="33">
        <f>Sheet1!I190</f>
        <v>388</v>
      </c>
      <c r="F64" s="33">
        <f>SUM(Sheet1!I188:I190)-Sheet1!D188</f>
        <v>0</v>
      </c>
      <c r="G64" s="33">
        <f>Sheet1!G188</f>
        <v>30</v>
      </c>
    </row>
    <row r="65" spans="1:7" ht="22.8" x14ac:dyDescent="0.3">
      <c r="A65" s="33" t="s">
        <v>35</v>
      </c>
      <c r="B65" s="33" t="s">
        <v>19</v>
      </c>
      <c r="C65" s="33">
        <f>Sheet1!I191</f>
        <v>98</v>
      </c>
      <c r="D65" s="33">
        <f>Sheet1!I192</f>
        <v>68</v>
      </c>
      <c r="E65" s="33">
        <f>Sheet1!I193</f>
        <v>100</v>
      </c>
      <c r="F65" s="33">
        <f>SUM(Sheet1!I191:I193)-Sheet1!D191</f>
        <v>0</v>
      </c>
      <c r="G65" s="33">
        <f>Sheet1!G191</f>
        <v>7</v>
      </c>
    </row>
    <row r="66" spans="1:7" x14ac:dyDescent="0.3">
      <c r="A66" s="33" t="s">
        <v>35</v>
      </c>
      <c r="B66" s="33" t="s">
        <v>20</v>
      </c>
      <c r="C66" s="33">
        <f>Sheet1!I194</f>
        <v>27</v>
      </c>
      <c r="D66" s="33">
        <f>Sheet1!I195</f>
        <v>18</v>
      </c>
      <c r="E66" s="33">
        <f>Sheet1!I196</f>
        <v>26</v>
      </c>
      <c r="F66" s="33">
        <f>SUM(Sheet1!I194:I196)-Sheet1!D194</f>
        <v>-9</v>
      </c>
      <c r="G66" s="33">
        <f>Sheet1!G194</f>
        <v>1</v>
      </c>
    </row>
    <row r="67" spans="1:7" x14ac:dyDescent="0.3">
      <c r="A67" s="33" t="s">
        <v>35</v>
      </c>
      <c r="B67" s="33" t="s">
        <v>21</v>
      </c>
      <c r="C67" s="33">
        <f>Sheet1!I197</f>
        <v>174</v>
      </c>
      <c r="D67" s="33">
        <f>Sheet1!I198</f>
        <v>115</v>
      </c>
      <c r="E67" s="33">
        <f>Sheet1!I199</f>
        <v>170</v>
      </c>
      <c r="F67" s="33">
        <f>SUM(Sheet1!I197:I199)-Sheet1!D197</f>
        <v>13</v>
      </c>
      <c r="G67" s="33">
        <f>Sheet1!G197</f>
        <v>13</v>
      </c>
    </row>
    <row r="68" spans="1:7" x14ac:dyDescent="0.3">
      <c r="A68" s="33" t="s">
        <v>35</v>
      </c>
      <c r="B68" s="33" t="s">
        <v>22</v>
      </c>
      <c r="C68" s="33">
        <f>Sheet1!I200</f>
        <v>59</v>
      </c>
      <c r="D68" s="33">
        <f>Sheet1!I201</f>
        <v>39</v>
      </c>
      <c r="E68" s="33">
        <f>Sheet1!I202</f>
        <v>58</v>
      </c>
      <c r="F68" s="33">
        <f>SUM(Sheet1!I200:I202)-Sheet1!D200</f>
        <v>-6</v>
      </c>
      <c r="G68" s="33">
        <f>Sheet1!G200</f>
        <v>4</v>
      </c>
    </row>
    <row r="69" spans="1:7" x14ac:dyDescent="0.3">
      <c r="A69" s="33" t="s">
        <v>35</v>
      </c>
      <c r="B69" s="33" t="s">
        <v>23</v>
      </c>
      <c r="C69" s="33">
        <f>Sheet1!I203</f>
        <v>20</v>
      </c>
      <c r="D69" s="33">
        <f>Sheet1!I204</f>
        <v>13</v>
      </c>
      <c r="E69" s="33">
        <f>Sheet1!I205</f>
        <v>20</v>
      </c>
      <c r="F69" s="33">
        <f>SUM(Sheet1!I203:I205)-Sheet1!D203</f>
        <v>-6</v>
      </c>
      <c r="G69" s="33">
        <f>Sheet1!G203</f>
        <v>1</v>
      </c>
    </row>
    <row r="70" spans="1:7" x14ac:dyDescent="0.3">
      <c r="A70" s="33" t="s">
        <v>36</v>
      </c>
      <c r="B70" s="33" t="s">
        <v>15</v>
      </c>
      <c r="C70" s="33">
        <f>Sheet1!I206</f>
        <v>392</v>
      </c>
      <c r="D70" s="33">
        <f>Sheet1!I207</f>
        <v>271</v>
      </c>
      <c r="E70" s="33">
        <f>Sheet1!I208</f>
        <v>402</v>
      </c>
      <c r="F70" s="33">
        <f>SUM(Sheet1!I206:I208)-Sheet1!D206</f>
        <v>31</v>
      </c>
      <c r="G70" s="33">
        <f>Sheet1!G206</f>
        <v>31</v>
      </c>
    </row>
    <row r="71" spans="1:7" ht="22.8" x14ac:dyDescent="0.3">
      <c r="A71" s="33" t="s">
        <v>36</v>
      </c>
      <c r="B71" s="33" t="s">
        <v>19</v>
      </c>
      <c r="C71" s="33">
        <f>Sheet1!I209</f>
        <v>19</v>
      </c>
      <c r="D71" s="33">
        <f>Sheet1!I210</f>
        <v>12</v>
      </c>
      <c r="E71" s="33">
        <f>Sheet1!I211</f>
        <v>18</v>
      </c>
      <c r="F71" s="33">
        <f>SUM(Sheet1!I209:I211)-Sheet1!D209</f>
        <v>1</v>
      </c>
      <c r="G71" s="33">
        <f>Sheet1!G209</f>
        <v>1</v>
      </c>
    </row>
    <row r="72" spans="1:7" x14ac:dyDescent="0.3">
      <c r="A72" s="33" t="s">
        <v>36</v>
      </c>
      <c r="B72" s="33" t="s">
        <v>20</v>
      </c>
      <c r="C72" s="33">
        <f>Sheet1!I212</f>
        <v>41</v>
      </c>
      <c r="D72" s="33">
        <f>Sheet1!I213</f>
        <v>27</v>
      </c>
      <c r="E72" s="33">
        <f>Sheet1!I214</f>
        <v>40</v>
      </c>
      <c r="F72" s="33">
        <f>SUM(Sheet1!I212:I214)-Sheet1!D212</f>
        <v>-15</v>
      </c>
      <c r="G72" s="33">
        <f>Sheet1!G212</f>
        <v>1</v>
      </c>
    </row>
    <row r="73" spans="1:7" x14ac:dyDescent="0.3">
      <c r="A73" s="33" t="s">
        <v>36</v>
      </c>
      <c r="B73" s="33" t="s">
        <v>21</v>
      </c>
      <c r="C73" s="33">
        <f>Sheet1!I215</f>
        <v>139</v>
      </c>
      <c r="D73" s="33">
        <f>Sheet1!I216</f>
        <v>91</v>
      </c>
      <c r="E73" s="33">
        <f>Sheet1!I217</f>
        <v>135</v>
      </c>
      <c r="F73" s="33">
        <f>SUM(Sheet1!I215:I217)-Sheet1!D215</f>
        <v>10</v>
      </c>
      <c r="G73" s="33">
        <f>Sheet1!G215</f>
        <v>11</v>
      </c>
    </row>
    <row r="74" spans="1:7" x14ac:dyDescent="0.3">
      <c r="A74" s="33" t="s">
        <v>36</v>
      </c>
      <c r="B74" s="33" t="s">
        <v>22</v>
      </c>
      <c r="C74" s="33">
        <f>Sheet1!I218</f>
        <v>51</v>
      </c>
      <c r="D74" s="33">
        <f>Sheet1!I219</f>
        <v>34</v>
      </c>
      <c r="E74" s="33">
        <f>Sheet1!I220</f>
        <v>50</v>
      </c>
      <c r="F74" s="33">
        <f>SUM(Sheet1!I218:I220)-Sheet1!D218</f>
        <v>-5</v>
      </c>
      <c r="G74" s="33">
        <f>Sheet1!G218</f>
        <v>4</v>
      </c>
    </row>
    <row r="75" spans="1:7" x14ac:dyDescent="0.3">
      <c r="A75" s="33" t="s">
        <v>36</v>
      </c>
      <c r="B75" s="33" t="s">
        <v>23</v>
      </c>
      <c r="C75" s="33">
        <f>Sheet1!I221</f>
        <v>25</v>
      </c>
      <c r="D75" s="33">
        <f>Sheet1!I222</f>
        <v>16</v>
      </c>
      <c r="E75" s="33">
        <f>Sheet1!I223</f>
        <v>24</v>
      </c>
      <c r="F75" s="33">
        <f>SUM(Sheet1!I221:I223)-Sheet1!D221</f>
        <v>-8</v>
      </c>
      <c r="G75" s="33">
        <f>Sheet1!G221</f>
        <v>1</v>
      </c>
    </row>
    <row r="76" spans="1:7" x14ac:dyDescent="0.3">
      <c r="A76" s="33" t="s">
        <v>36</v>
      </c>
      <c r="B76" s="33" t="s">
        <v>25</v>
      </c>
      <c r="C76" s="33">
        <f>Sheet1!I224</f>
        <v>13</v>
      </c>
      <c r="D76" s="33">
        <f>Sheet1!I225</f>
        <v>8</v>
      </c>
      <c r="E76" s="33">
        <f>Sheet1!I226</f>
        <v>12</v>
      </c>
      <c r="F76" s="33">
        <f>SUM(Sheet1!I224:I226)-Sheet1!D224</f>
        <v>-3</v>
      </c>
      <c r="G76" s="33">
        <f>Sheet1!G224</f>
        <v>1</v>
      </c>
    </row>
    <row r="77" spans="1:7" x14ac:dyDescent="0.3">
      <c r="A77" s="33" t="s">
        <v>37</v>
      </c>
      <c r="B77" s="33" t="s">
        <v>15</v>
      </c>
      <c r="C77" s="33">
        <f>Sheet1!I227</f>
        <v>127</v>
      </c>
      <c r="D77" s="33">
        <f>Sheet1!I228</f>
        <v>96</v>
      </c>
      <c r="E77" s="33">
        <f>Sheet1!I229</f>
        <v>141</v>
      </c>
      <c r="F77" s="33">
        <f>SUM(Sheet1!I227:I229)-Sheet1!D227</f>
        <v>0</v>
      </c>
      <c r="G77" s="33">
        <f>Sheet1!G227</f>
        <v>11</v>
      </c>
    </row>
    <row r="78" spans="1:7" ht="22.8" x14ac:dyDescent="0.3">
      <c r="A78" s="33" t="s">
        <v>37</v>
      </c>
      <c r="B78" s="33" t="s">
        <v>19</v>
      </c>
      <c r="C78" s="33">
        <f>Sheet1!I230</f>
        <v>42</v>
      </c>
      <c r="D78" s="33">
        <f>Sheet1!I231</f>
        <v>28</v>
      </c>
      <c r="E78" s="33">
        <f>Sheet1!I232</f>
        <v>41</v>
      </c>
      <c r="F78" s="33">
        <f>SUM(Sheet1!I230:I232)-Sheet1!D230</f>
        <v>2</v>
      </c>
      <c r="G78" s="33">
        <f>Sheet1!G230</f>
        <v>3</v>
      </c>
    </row>
    <row r="79" spans="1:7" x14ac:dyDescent="0.3">
      <c r="A79" s="33" t="s">
        <v>37</v>
      </c>
      <c r="B79" s="33" t="s">
        <v>21</v>
      </c>
      <c r="C79" s="33">
        <f>Sheet1!I233</f>
        <v>138</v>
      </c>
      <c r="D79" s="33">
        <f>Sheet1!I234</f>
        <v>99</v>
      </c>
      <c r="E79" s="33">
        <f>Sheet1!I235</f>
        <v>146</v>
      </c>
      <c r="F79" s="33">
        <f>SUM(Sheet1!I233:I235)-Sheet1!D233</f>
        <v>0</v>
      </c>
      <c r="G79" s="33">
        <f>Sheet1!G233</f>
        <v>11</v>
      </c>
    </row>
    <row r="80" spans="1:7" x14ac:dyDescent="0.3">
      <c r="A80" s="33" t="s">
        <v>37</v>
      </c>
      <c r="B80" s="33" t="s">
        <v>22</v>
      </c>
      <c r="C80" s="33">
        <f>Sheet1!I236</f>
        <v>91</v>
      </c>
      <c r="D80" s="33">
        <f>Sheet1!I237</f>
        <v>60</v>
      </c>
      <c r="E80" s="33">
        <f>Sheet1!I238</f>
        <v>89</v>
      </c>
      <c r="F80" s="33">
        <f>SUM(Sheet1!I236:I238)-Sheet1!D236</f>
        <v>-10</v>
      </c>
      <c r="G80" s="33">
        <f>Sheet1!G236</f>
        <v>6</v>
      </c>
    </row>
    <row r="81" spans="1:7" x14ac:dyDescent="0.3">
      <c r="A81" s="33" t="s">
        <v>37</v>
      </c>
      <c r="B81" s="33" t="s">
        <v>25</v>
      </c>
      <c r="C81" s="33">
        <f>Sheet1!I239</f>
        <v>22</v>
      </c>
      <c r="D81" s="33">
        <f>Sheet1!I240</f>
        <v>15</v>
      </c>
      <c r="E81" s="33">
        <f>Sheet1!I241</f>
        <v>22</v>
      </c>
      <c r="F81" s="33">
        <f>SUM(Sheet1!I239:I241)-Sheet1!D239</f>
        <v>-5</v>
      </c>
      <c r="G81" s="33">
        <f>Sheet1!G239</f>
        <v>1</v>
      </c>
    </row>
    <row r="82" spans="1:7" x14ac:dyDescent="0.3">
      <c r="A82" s="33" t="s">
        <v>38</v>
      </c>
      <c r="B82" s="33" t="s">
        <v>15</v>
      </c>
      <c r="C82" s="33">
        <f>Sheet1!I242</f>
        <v>381</v>
      </c>
      <c r="D82" s="33">
        <f>Sheet1!I243</f>
        <v>286</v>
      </c>
      <c r="E82" s="33">
        <f>Sheet1!I244</f>
        <v>423</v>
      </c>
      <c r="F82" s="33">
        <f>SUM(Sheet1!I242:I244)-Sheet1!D242</f>
        <v>0</v>
      </c>
      <c r="G82" s="33">
        <f>Sheet1!G242</f>
        <v>33</v>
      </c>
    </row>
    <row r="83" spans="1:7" ht="22.8" x14ac:dyDescent="0.3">
      <c r="A83" s="33" t="s">
        <v>38</v>
      </c>
      <c r="B83" s="33" t="s">
        <v>19</v>
      </c>
      <c r="C83" s="33">
        <f>Sheet1!I245</f>
        <v>119</v>
      </c>
      <c r="D83" s="33">
        <f>Sheet1!I246</f>
        <v>78</v>
      </c>
      <c r="E83" s="33">
        <f>Sheet1!I247</f>
        <v>115</v>
      </c>
      <c r="F83" s="33">
        <f>SUM(Sheet1!I245:I247)-Sheet1!D245</f>
        <v>6</v>
      </c>
      <c r="G83" s="33">
        <f>Sheet1!G245</f>
        <v>8</v>
      </c>
    </row>
    <row r="84" spans="1:7" x14ac:dyDescent="0.3">
      <c r="A84" s="33" t="s">
        <v>38</v>
      </c>
      <c r="B84" s="33" t="s">
        <v>20</v>
      </c>
      <c r="C84" s="33">
        <f>Sheet1!I248</f>
        <v>27</v>
      </c>
      <c r="D84" s="33">
        <f>Sheet1!I249</f>
        <v>18</v>
      </c>
      <c r="E84" s="33">
        <f>Sheet1!I250</f>
        <v>26</v>
      </c>
      <c r="F84" s="33">
        <f>SUM(Sheet1!I248:I250)-Sheet1!D248</f>
        <v>-9</v>
      </c>
      <c r="G84" s="33">
        <f>Sheet1!G248</f>
        <v>1</v>
      </c>
    </row>
    <row r="85" spans="1:7" x14ac:dyDescent="0.3">
      <c r="A85" s="33" t="s">
        <v>38</v>
      </c>
      <c r="B85" s="33" t="s">
        <v>21</v>
      </c>
      <c r="C85" s="33">
        <f>Sheet1!I251</f>
        <v>135</v>
      </c>
      <c r="D85" s="33">
        <f>Sheet1!I252</f>
        <v>96</v>
      </c>
      <c r="E85" s="33">
        <f>Sheet1!I253</f>
        <v>143</v>
      </c>
      <c r="F85" s="33">
        <f>SUM(Sheet1!I251:I253)-Sheet1!D251</f>
        <v>0</v>
      </c>
      <c r="G85" s="33">
        <f>Sheet1!G251</f>
        <v>11</v>
      </c>
    </row>
    <row r="86" spans="1:7" x14ac:dyDescent="0.3">
      <c r="A86" s="33" t="s">
        <v>38</v>
      </c>
      <c r="B86" s="33" t="s">
        <v>22</v>
      </c>
      <c r="C86" s="33">
        <f>Sheet1!I254</f>
        <v>40</v>
      </c>
      <c r="D86" s="33">
        <f>Sheet1!I255</f>
        <v>27</v>
      </c>
      <c r="E86" s="33">
        <f>Sheet1!I256</f>
        <v>39</v>
      </c>
      <c r="F86" s="33">
        <f>SUM(Sheet1!I254:I256)-Sheet1!D254</f>
        <v>-5</v>
      </c>
      <c r="G86" s="33">
        <f>Sheet1!G254</f>
        <v>3</v>
      </c>
    </row>
    <row r="87" spans="1:7" x14ac:dyDescent="0.3">
      <c r="A87" s="33" t="s">
        <v>38</v>
      </c>
      <c r="B87" s="33" t="s">
        <v>23</v>
      </c>
      <c r="C87" s="33">
        <f>Sheet1!I257</f>
        <v>28</v>
      </c>
      <c r="D87" s="33">
        <f>Sheet1!I258</f>
        <v>18</v>
      </c>
      <c r="E87" s="33">
        <f>Sheet1!I259</f>
        <v>27</v>
      </c>
      <c r="F87" s="33">
        <f>SUM(Sheet1!I257:I259)-Sheet1!D257</f>
        <v>-9</v>
      </c>
      <c r="G87" s="33">
        <f>Sheet1!G257</f>
        <v>2</v>
      </c>
    </row>
    <row r="88" spans="1:7" x14ac:dyDescent="0.3">
      <c r="A88" s="33" t="s">
        <v>39</v>
      </c>
      <c r="B88" s="33" t="s">
        <v>15</v>
      </c>
      <c r="C88" s="33">
        <f>Sheet1!I260</f>
        <v>412</v>
      </c>
      <c r="D88" s="33">
        <f>Sheet1!I261</f>
        <v>285</v>
      </c>
      <c r="E88" s="33">
        <f>Sheet1!I262</f>
        <v>422</v>
      </c>
      <c r="F88" s="33">
        <f>SUM(Sheet1!I260:I262)-Sheet1!D260</f>
        <v>33</v>
      </c>
      <c r="G88" s="33">
        <f>Sheet1!G260</f>
        <v>33</v>
      </c>
    </row>
    <row r="89" spans="1:7" ht="22.8" x14ac:dyDescent="0.3">
      <c r="A89" s="33" t="s">
        <v>39</v>
      </c>
      <c r="B89" s="33" t="s">
        <v>19</v>
      </c>
      <c r="C89" s="33">
        <f>Sheet1!I263</f>
        <v>103</v>
      </c>
      <c r="D89" s="33">
        <f>Sheet1!I264</f>
        <v>68</v>
      </c>
      <c r="E89" s="33">
        <f>Sheet1!I265</f>
        <v>100</v>
      </c>
      <c r="F89" s="33">
        <f>SUM(Sheet1!I263:I265)-Sheet1!D263</f>
        <v>6</v>
      </c>
      <c r="G89" s="33">
        <f>Sheet1!G263</f>
        <v>7</v>
      </c>
    </row>
    <row r="90" spans="1:7" x14ac:dyDescent="0.3">
      <c r="A90" s="33" t="s">
        <v>39</v>
      </c>
      <c r="B90" s="33" t="s">
        <v>20</v>
      </c>
      <c r="C90" s="33">
        <f>Sheet1!I266</f>
        <v>25</v>
      </c>
      <c r="D90" s="33">
        <f>Sheet1!I267</f>
        <v>16</v>
      </c>
      <c r="E90" s="33">
        <f>Sheet1!I268</f>
        <v>24</v>
      </c>
      <c r="F90" s="33">
        <f>SUM(Sheet1!I266:I268)-Sheet1!D266</f>
        <v>-10</v>
      </c>
      <c r="G90" s="33">
        <f>Sheet1!G266</f>
        <v>1</v>
      </c>
    </row>
    <row r="91" spans="1:7" x14ac:dyDescent="0.3">
      <c r="A91" s="33" t="s">
        <v>39</v>
      </c>
      <c r="B91" s="33" t="s">
        <v>21</v>
      </c>
      <c r="C91" s="33">
        <f>Sheet1!I269</f>
        <v>203</v>
      </c>
      <c r="D91" s="33">
        <f>Sheet1!I270</f>
        <v>144</v>
      </c>
      <c r="E91" s="33">
        <f>Sheet1!I271</f>
        <v>213</v>
      </c>
      <c r="F91" s="33">
        <f>SUM(Sheet1!I269:I271)-Sheet1!D269</f>
        <v>0</v>
      </c>
      <c r="G91" s="33">
        <f>Sheet1!G269</f>
        <v>17</v>
      </c>
    </row>
    <row r="92" spans="1:7" x14ac:dyDescent="0.3">
      <c r="A92" s="33" t="s">
        <v>39</v>
      </c>
      <c r="B92" s="33" t="s">
        <v>23</v>
      </c>
      <c r="C92" s="33">
        <f>Sheet1!I272</f>
        <v>44</v>
      </c>
      <c r="D92" s="33">
        <f>Sheet1!I273</f>
        <v>29</v>
      </c>
      <c r="E92" s="33">
        <f>Sheet1!I274</f>
        <v>43</v>
      </c>
      <c r="F92" s="33">
        <f>SUM(Sheet1!I272:I274)-Sheet1!D272</f>
        <v>-12</v>
      </c>
      <c r="G92" s="33">
        <f>Sheet1!G272</f>
        <v>3</v>
      </c>
    </row>
    <row r="93" spans="1:7" x14ac:dyDescent="0.3">
      <c r="A93" s="33" t="s">
        <v>40</v>
      </c>
      <c r="B93" s="33" t="s">
        <v>15</v>
      </c>
      <c r="C93" s="33">
        <f>Sheet1!I275</f>
        <v>407</v>
      </c>
      <c r="D93" s="33">
        <f>Sheet1!I276</f>
        <v>307</v>
      </c>
      <c r="E93" s="33">
        <f>Sheet1!I277</f>
        <v>454</v>
      </c>
      <c r="F93" s="33">
        <f>SUM(Sheet1!I275:I277)-Sheet1!D275</f>
        <v>0</v>
      </c>
      <c r="G93" s="33">
        <f>Sheet1!G275</f>
        <v>35</v>
      </c>
    </row>
    <row r="94" spans="1:7" ht="22.8" x14ac:dyDescent="0.3">
      <c r="A94" s="33" t="s">
        <v>40</v>
      </c>
      <c r="B94" s="33" t="s">
        <v>19</v>
      </c>
      <c r="C94" s="33">
        <f>Sheet1!I278</f>
        <v>113</v>
      </c>
      <c r="D94" s="33">
        <f>Sheet1!I279</f>
        <v>79</v>
      </c>
      <c r="E94" s="33">
        <f>Sheet1!I280</f>
        <v>116</v>
      </c>
      <c r="F94" s="33">
        <f>SUM(Sheet1!I278:I280)-Sheet1!D278</f>
        <v>0</v>
      </c>
      <c r="G94" s="33">
        <f>Sheet1!G278</f>
        <v>8</v>
      </c>
    </row>
    <row r="95" spans="1:7" x14ac:dyDescent="0.3">
      <c r="A95" s="33" t="s">
        <v>40</v>
      </c>
      <c r="B95" s="33" t="s">
        <v>20</v>
      </c>
      <c r="C95" s="33">
        <f>Sheet1!I281</f>
        <v>32</v>
      </c>
      <c r="D95" s="33">
        <f>Sheet1!I282</f>
        <v>21</v>
      </c>
      <c r="E95" s="33">
        <f>Sheet1!I283</f>
        <v>31</v>
      </c>
      <c r="F95" s="33">
        <f>SUM(Sheet1!I281:I283)-Sheet1!D281</f>
        <v>-11</v>
      </c>
      <c r="G95" s="33">
        <f>Sheet1!G281</f>
        <v>1</v>
      </c>
    </row>
    <row r="96" spans="1:7" x14ac:dyDescent="0.3">
      <c r="A96" s="33" t="s">
        <v>40</v>
      </c>
      <c r="B96" s="33" t="s">
        <v>21</v>
      </c>
      <c r="C96" s="33">
        <f>Sheet1!I284</f>
        <v>148</v>
      </c>
      <c r="D96" s="33">
        <f>Sheet1!I285</f>
        <v>105</v>
      </c>
      <c r="E96" s="33">
        <f>Sheet1!I286</f>
        <v>155</v>
      </c>
      <c r="F96" s="33">
        <f>SUM(Sheet1!I284:I286)-Sheet1!D284</f>
        <v>0</v>
      </c>
      <c r="G96" s="33">
        <f>Sheet1!G284</f>
        <v>12</v>
      </c>
    </row>
    <row r="97" spans="1:7" x14ac:dyDescent="0.3">
      <c r="A97" s="33" t="s">
        <v>40</v>
      </c>
      <c r="B97" s="33" t="s">
        <v>22</v>
      </c>
      <c r="C97" s="33">
        <f>Sheet1!I287</f>
        <v>42</v>
      </c>
      <c r="D97" s="33">
        <f>Sheet1!I288</f>
        <v>27</v>
      </c>
      <c r="E97" s="33">
        <f>Sheet1!I289</f>
        <v>40</v>
      </c>
      <c r="F97" s="33">
        <f>SUM(Sheet1!I287:I289)-Sheet1!D287</f>
        <v>-5</v>
      </c>
      <c r="G97" s="33">
        <f>Sheet1!G287</f>
        <v>3</v>
      </c>
    </row>
    <row r="98" spans="1:7" x14ac:dyDescent="0.3">
      <c r="A98" s="33" t="s">
        <v>40</v>
      </c>
      <c r="B98" s="33" t="s">
        <v>23</v>
      </c>
      <c r="C98" s="33">
        <f>Sheet1!I290</f>
        <v>28</v>
      </c>
      <c r="D98" s="33">
        <f>Sheet1!I291</f>
        <v>18</v>
      </c>
      <c r="E98" s="33">
        <f>Sheet1!I292</f>
        <v>27</v>
      </c>
      <c r="F98" s="33">
        <f>SUM(Sheet1!I290:I292)-Sheet1!D290</f>
        <v>-9</v>
      </c>
      <c r="G98" s="33">
        <f>Sheet1!G290</f>
        <v>2</v>
      </c>
    </row>
    <row r="99" spans="1:7" x14ac:dyDescent="0.3">
      <c r="A99" s="33" t="s">
        <v>41</v>
      </c>
      <c r="B99" s="33" t="s">
        <v>15</v>
      </c>
      <c r="C99" s="33">
        <f>Sheet1!I293</f>
        <v>137</v>
      </c>
      <c r="D99" s="33">
        <f>Sheet1!I294</f>
        <v>94</v>
      </c>
      <c r="E99" s="33">
        <f>Sheet1!I295</f>
        <v>140</v>
      </c>
      <c r="F99" s="33">
        <f>SUM(Sheet1!I293:I295)-Sheet1!D293</f>
        <v>11</v>
      </c>
      <c r="G99" s="33">
        <f>Sheet1!G293</f>
        <v>11</v>
      </c>
    </row>
    <row r="100" spans="1:7" ht="22.8" x14ac:dyDescent="0.3">
      <c r="A100" s="33" t="s">
        <v>41</v>
      </c>
      <c r="B100" s="33" t="s">
        <v>19</v>
      </c>
      <c r="C100" s="33">
        <f>Sheet1!I296</f>
        <v>52</v>
      </c>
      <c r="D100" s="33">
        <f>Sheet1!I297</f>
        <v>34</v>
      </c>
      <c r="E100" s="33">
        <f>Sheet1!I298</f>
        <v>51</v>
      </c>
      <c r="F100" s="33">
        <f>SUM(Sheet1!I296:I298)-Sheet1!D296</f>
        <v>3</v>
      </c>
      <c r="G100" s="33">
        <f>Sheet1!G296</f>
        <v>3</v>
      </c>
    </row>
    <row r="101" spans="1:7" x14ac:dyDescent="0.3">
      <c r="A101" s="33" t="s">
        <v>41</v>
      </c>
      <c r="B101" s="33" t="s">
        <v>20</v>
      </c>
      <c r="C101" s="33">
        <f>Sheet1!I299</f>
        <v>6</v>
      </c>
      <c r="D101" s="33">
        <f>Sheet1!I300</f>
        <v>4</v>
      </c>
      <c r="E101" s="33">
        <f>Sheet1!I301</f>
        <v>6</v>
      </c>
      <c r="F101" s="33">
        <f>SUM(Sheet1!I299:I301)-Sheet1!D299</f>
        <v>-2</v>
      </c>
      <c r="G101" s="33">
        <f>Sheet1!G299</f>
        <v>0</v>
      </c>
    </row>
    <row r="102" spans="1:7" x14ac:dyDescent="0.3">
      <c r="A102" s="33" t="s">
        <v>41</v>
      </c>
      <c r="B102" s="33" t="s">
        <v>21</v>
      </c>
      <c r="C102" s="33">
        <f>Sheet1!I302</f>
        <v>149</v>
      </c>
      <c r="D102" s="33">
        <f>Sheet1!I303</f>
        <v>106</v>
      </c>
      <c r="E102" s="33">
        <f>Sheet1!I304</f>
        <v>157</v>
      </c>
      <c r="F102" s="33">
        <f>SUM(Sheet1!I302:I304)-Sheet1!D302</f>
        <v>0</v>
      </c>
      <c r="G102" s="33">
        <f>Sheet1!G302</f>
        <v>12</v>
      </c>
    </row>
    <row r="103" spans="1:7" x14ac:dyDescent="0.3">
      <c r="A103" s="33" t="s">
        <v>41</v>
      </c>
      <c r="B103" s="33" t="s">
        <v>22</v>
      </c>
      <c r="C103" s="33">
        <f>Sheet1!I305</f>
        <v>89</v>
      </c>
      <c r="D103" s="33">
        <f>Sheet1!I306</f>
        <v>58</v>
      </c>
      <c r="E103" s="33">
        <f>Sheet1!I307</f>
        <v>86</v>
      </c>
      <c r="F103" s="33">
        <f>SUM(Sheet1!I305:I307)-Sheet1!D305</f>
        <v>-10</v>
      </c>
      <c r="G103" s="33">
        <f>Sheet1!G305</f>
        <v>6</v>
      </c>
    </row>
    <row r="104" spans="1:7" x14ac:dyDescent="0.3">
      <c r="A104" s="33" t="s">
        <v>41</v>
      </c>
      <c r="B104" s="33" t="s">
        <v>25</v>
      </c>
      <c r="C104" s="33">
        <f>Sheet1!I308</f>
        <v>10</v>
      </c>
      <c r="D104" s="33">
        <f>Sheet1!I309</f>
        <v>7</v>
      </c>
      <c r="E104" s="33">
        <f>Sheet1!I310</f>
        <v>10</v>
      </c>
      <c r="F104" s="33">
        <f>SUM(Sheet1!I308:I310)-Sheet1!D308</f>
        <v>-3</v>
      </c>
      <c r="G104" s="33">
        <f>Sheet1!G308</f>
        <v>0</v>
      </c>
    </row>
    <row r="105" spans="1:7" x14ac:dyDescent="0.3">
      <c r="A105" s="33" t="s">
        <v>42</v>
      </c>
      <c r="B105" s="33" t="s">
        <v>15</v>
      </c>
      <c r="C105" s="33">
        <f>Sheet1!I311</f>
        <v>348</v>
      </c>
      <c r="D105" s="33">
        <f>Sheet1!I312</f>
        <v>262</v>
      </c>
      <c r="E105" s="33">
        <f>Sheet1!I313</f>
        <v>388</v>
      </c>
      <c r="F105" s="33">
        <f>SUM(Sheet1!I311:I313)-Sheet1!D311</f>
        <v>0</v>
      </c>
      <c r="G105" s="33">
        <f>Sheet1!G311</f>
        <v>30</v>
      </c>
    </row>
    <row r="106" spans="1:7" ht="22.8" x14ac:dyDescent="0.3">
      <c r="A106" s="33" t="s">
        <v>42</v>
      </c>
      <c r="B106" s="33" t="s">
        <v>19</v>
      </c>
      <c r="C106" s="33">
        <f>Sheet1!I314</f>
        <v>98</v>
      </c>
      <c r="D106" s="33">
        <f>Sheet1!I315</f>
        <v>68</v>
      </c>
      <c r="E106" s="33">
        <f>Sheet1!I316</f>
        <v>100</v>
      </c>
      <c r="F106" s="33">
        <f>SUM(Sheet1!I314:I316)-Sheet1!D314</f>
        <v>0</v>
      </c>
      <c r="G106" s="33">
        <f>Sheet1!G314</f>
        <v>7</v>
      </c>
    </row>
    <row r="107" spans="1:7" x14ac:dyDescent="0.3">
      <c r="A107" s="33" t="s">
        <v>42</v>
      </c>
      <c r="B107" s="33" t="s">
        <v>20</v>
      </c>
      <c r="C107" s="33">
        <f>Sheet1!I317</f>
        <v>27</v>
      </c>
      <c r="D107" s="33">
        <f>Sheet1!I318</f>
        <v>18</v>
      </c>
      <c r="E107" s="33">
        <f>Sheet1!I319</f>
        <v>26</v>
      </c>
      <c r="F107" s="33">
        <f>SUM(Sheet1!I317:I319)-Sheet1!D317</f>
        <v>-9</v>
      </c>
      <c r="G107" s="33">
        <f>Sheet1!G317</f>
        <v>1</v>
      </c>
    </row>
    <row r="108" spans="1:7" x14ac:dyDescent="0.3">
      <c r="A108" s="33" t="s">
        <v>42</v>
      </c>
      <c r="B108" s="33" t="s">
        <v>21</v>
      </c>
      <c r="C108" s="33">
        <f>Sheet1!I320</f>
        <v>161</v>
      </c>
      <c r="D108" s="33">
        <f>Sheet1!I321</f>
        <v>115</v>
      </c>
      <c r="E108" s="33">
        <f>Sheet1!I322</f>
        <v>170</v>
      </c>
      <c r="F108" s="33">
        <f>SUM(Sheet1!I320:I322)-Sheet1!D320</f>
        <v>0</v>
      </c>
      <c r="G108" s="33">
        <f>Sheet1!G320</f>
        <v>13</v>
      </c>
    </row>
    <row r="109" spans="1:7" x14ac:dyDescent="0.3">
      <c r="A109" s="33" t="s">
        <v>42</v>
      </c>
      <c r="B109" s="33" t="s">
        <v>22</v>
      </c>
      <c r="C109" s="33">
        <f>Sheet1!I323</f>
        <v>59</v>
      </c>
      <c r="D109" s="33">
        <f>Sheet1!I324</f>
        <v>39</v>
      </c>
      <c r="E109" s="33">
        <f>Sheet1!I325</f>
        <v>58</v>
      </c>
      <c r="F109" s="33">
        <f>SUM(Sheet1!I323:I325)-Sheet1!D323</f>
        <v>-6</v>
      </c>
      <c r="G109" s="33">
        <f>Sheet1!G323</f>
        <v>4</v>
      </c>
    </row>
    <row r="110" spans="1:7" x14ac:dyDescent="0.3">
      <c r="A110" s="33" t="s">
        <v>42</v>
      </c>
      <c r="B110" s="33" t="s">
        <v>23</v>
      </c>
      <c r="C110" s="33">
        <f>Sheet1!I326</f>
        <v>20</v>
      </c>
      <c r="D110" s="33">
        <f>Sheet1!I327</f>
        <v>13</v>
      </c>
      <c r="E110" s="33">
        <f>Sheet1!I328</f>
        <v>20</v>
      </c>
      <c r="F110" s="33">
        <f>SUM(Sheet1!I326:I328)-Sheet1!D326</f>
        <v>-6</v>
      </c>
      <c r="G110" s="33">
        <f>Sheet1!G326</f>
        <v>1</v>
      </c>
    </row>
    <row r="111" spans="1:7" x14ac:dyDescent="0.3">
      <c r="A111" s="33" t="s">
        <v>43</v>
      </c>
      <c r="B111" s="33" t="s">
        <v>15</v>
      </c>
      <c r="C111" s="33">
        <f>Sheet1!I329</f>
        <v>137</v>
      </c>
      <c r="D111" s="33">
        <f>Sheet1!I330</f>
        <v>94</v>
      </c>
      <c r="E111" s="33">
        <f>Sheet1!I331</f>
        <v>140</v>
      </c>
      <c r="F111" s="33">
        <f>SUM(Sheet1!I329:I331)-Sheet1!D329</f>
        <v>11</v>
      </c>
      <c r="G111" s="33">
        <f>Sheet1!G329</f>
        <v>11</v>
      </c>
    </row>
    <row r="112" spans="1:7" ht="22.8" x14ac:dyDescent="0.3">
      <c r="A112" s="33" t="s">
        <v>43</v>
      </c>
      <c r="B112" s="33" t="s">
        <v>19</v>
      </c>
      <c r="C112" s="33">
        <f>Sheet1!I332</f>
        <v>52</v>
      </c>
      <c r="D112" s="33">
        <f>Sheet1!I333</f>
        <v>34</v>
      </c>
      <c r="E112" s="33">
        <f>Sheet1!I334</f>
        <v>51</v>
      </c>
      <c r="F112" s="33">
        <f>SUM(Sheet1!I332:I334)-Sheet1!D332</f>
        <v>3</v>
      </c>
      <c r="G112" s="33">
        <f>Sheet1!G332</f>
        <v>3</v>
      </c>
    </row>
    <row r="113" spans="1:7" x14ac:dyDescent="0.3">
      <c r="A113" s="33" t="s">
        <v>43</v>
      </c>
      <c r="B113" s="33" t="s">
        <v>20</v>
      </c>
      <c r="C113" s="33">
        <f>Sheet1!I335</f>
        <v>6</v>
      </c>
      <c r="D113" s="33">
        <f>Sheet1!I336</f>
        <v>4</v>
      </c>
      <c r="E113" s="33">
        <f>Sheet1!I337</f>
        <v>6</v>
      </c>
      <c r="F113" s="33">
        <f>SUM(Sheet1!I335:I337)-Sheet1!D335</f>
        <v>-1</v>
      </c>
      <c r="G113" s="33">
        <f>Sheet1!G335</f>
        <v>0</v>
      </c>
    </row>
    <row r="114" spans="1:7" x14ac:dyDescent="0.3">
      <c r="A114" s="33" t="s">
        <v>43</v>
      </c>
      <c r="B114" s="33" t="s">
        <v>21</v>
      </c>
      <c r="C114" s="33">
        <f>Sheet1!I338</f>
        <v>151</v>
      </c>
      <c r="D114" s="33">
        <f>Sheet1!I339</f>
        <v>107</v>
      </c>
      <c r="E114" s="33">
        <f>Sheet1!I340</f>
        <v>159</v>
      </c>
      <c r="F114" s="33">
        <f>SUM(Sheet1!I338:I340)-Sheet1!D338</f>
        <v>0</v>
      </c>
      <c r="G114" s="33">
        <f>Sheet1!G338</f>
        <v>13</v>
      </c>
    </row>
    <row r="115" spans="1:7" x14ac:dyDescent="0.3">
      <c r="A115" s="33" t="s">
        <v>43</v>
      </c>
      <c r="B115" s="33" t="s">
        <v>22</v>
      </c>
      <c r="C115" s="33">
        <f>Sheet1!I341</f>
        <v>89</v>
      </c>
      <c r="D115" s="33">
        <f>Sheet1!I342</f>
        <v>58</v>
      </c>
      <c r="E115" s="33">
        <f>Sheet1!I343</f>
        <v>86</v>
      </c>
      <c r="F115" s="33">
        <f>SUM(Sheet1!I341:I343)-Sheet1!D341</f>
        <v>-10</v>
      </c>
      <c r="G115" s="33">
        <f>Sheet1!G341</f>
        <v>6</v>
      </c>
    </row>
    <row r="116" spans="1:7" x14ac:dyDescent="0.3">
      <c r="A116" s="33" t="s">
        <v>43</v>
      </c>
      <c r="B116" s="33" t="s">
        <v>25</v>
      </c>
      <c r="C116" s="33">
        <f>Sheet1!I344</f>
        <v>10</v>
      </c>
      <c r="D116" s="33">
        <f>Sheet1!I345</f>
        <v>7</v>
      </c>
      <c r="E116" s="33">
        <f>Sheet1!I346</f>
        <v>10</v>
      </c>
      <c r="F116" s="33">
        <f>SUM(Sheet1!I344:I346)-Sheet1!D344</f>
        <v>-3</v>
      </c>
      <c r="G116" s="33">
        <f>Sheet1!G344</f>
        <v>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Donahalli Dinesh, Sampada</dc:creator>
  <cp:lastModifiedBy>Sampada D D</cp:lastModifiedBy>
  <dcterms:created xsi:type="dcterms:W3CDTF">2026-04-15T23:11:41Z</dcterms:created>
  <dcterms:modified xsi:type="dcterms:W3CDTF">2026-04-29T01:16:44Z</dcterms:modified>
</cp:coreProperties>
</file>